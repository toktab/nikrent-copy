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კონსტრუქცია 1" sheetId="1" r:id="rId1"/>
    <sheet name="ჯამი" sheetId="2" r:id="rId2"/>
    <sheet name="ნაშთი" sheetId="3" r:id="rId3"/>
    <sheet name="აწყობა" sheetId="4" r:id="rId4"/>
    <sheet name="პრინტ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cols>
    <col min="1" max="1" width="44.83203125" customWidth="1"/>
    <col min="2" max="2" width="18.83203125" customWidth="1"/>
    <col min="3" max="3" width="14.83203125" customWidth="1"/>
    <col min="4" max="4" width="16.83203125" customWidth="1"/>
    <col min="5" max="5" width="4.83203125" customWidth="1"/>
    <col min="6" max="6" width="24.83203125" customWidth="1"/>
  </cols>
  <sheetData>
    <row r="1">
      <c r="A1" t="str">
        <v>დეტალის დასახელება</v>
      </c>
      <c r="B1" t="str">
        <v>დეტალის რაოდენობა 1 კონსტრუქციაზე</v>
      </c>
      <c r="C1" t="str">
        <v>კონსტრუქციის რაოდენობა</v>
      </c>
      <c r="D1" t="str">
        <v>დეტალის რაოდენობა სულ</v>
      </c>
      <c r="E1" t="str">
        <v/>
      </c>
      <c r="F1" t="str">
        <v>ნახაზი</v>
      </c>
    </row>
    <row r="2">
      <c r="A2" t="str">
        <v>Du კოლონის waler 100</v>
      </c>
      <c r="B2">
        <v>0</v>
      </c>
      <c r="C2">
        <v>1</v>
      </c>
      <c r="D2">
        <f>B2*C2</f>
        <v>0</v>
      </c>
      <c r="E2" t="str">
        <v/>
      </c>
      <c r="F2" t="str">
        <v>ნახაზი 1</v>
      </c>
    </row>
    <row r="3">
      <c r="A3" t="str">
        <v>Du კოლონის waler 120</v>
      </c>
      <c r="B3">
        <v>0</v>
      </c>
      <c r="C3">
        <v>1</v>
      </c>
      <c r="D3">
        <f>B3*C3</f>
        <v>0</v>
      </c>
    </row>
    <row r="4">
      <c r="A4" t="str">
        <v>Du კოლონის waler 150</v>
      </c>
      <c r="B4">
        <v>0</v>
      </c>
      <c r="C4">
        <v>1</v>
      </c>
      <c r="D4">
        <f>B4*C4</f>
        <v>0</v>
      </c>
    </row>
    <row r="5">
      <c r="A5" t="str">
        <v>Du კოლონის waler 300</v>
      </c>
      <c r="B5">
        <v>0</v>
      </c>
      <c r="C5">
        <v>1</v>
      </c>
      <c r="D5">
        <f>B5*C5</f>
        <v>0</v>
      </c>
    </row>
    <row r="6">
      <c r="A6" t="str">
        <v>Du კოლონის waler 600</v>
      </c>
      <c r="B6">
        <v>0</v>
      </c>
      <c r="C6">
        <v>1</v>
      </c>
      <c r="D6">
        <f>B6*C6</f>
        <v>0</v>
      </c>
    </row>
    <row r="7">
      <c r="A7" t="str">
        <v>Du კოლონის გარე კუთხე 300</v>
      </c>
      <c r="B7">
        <v>0</v>
      </c>
      <c r="C7">
        <v>1</v>
      </c>
      <c r="D7">
        <f>B7*C7</f>
        <v>0</v>
      </c>
    </row>
    <row r="8">
      <c r="A8" t="str">
        <v>Du კოლონის დგარი 100</v>
      </c>
      <c r="B8">
        <v>0</v>
      </c>
      <c r="C8">
        <v>1</v>
      </c>
      <c r="D8">
        <f>B8*C8</f>
        <v>0</v>
      </c>
    </row>
    <row r="9">
      <c r="A9" t="str">
        <v>Du კოლონის დგარი 200</v>
      </c>
      <c r="B9">
        <v>0</v>
      </c>
      <c r="C9">
        <v>1</v>
      </c>
      <c r="D9">
        <f>B9*C9</f>
        <v>0</v>
      </c>
    </row>
    <row r="10">
      <c r="A10" t="str">
        <v>Du კოლონის კაუჭი ამწესთვის</v>
      </c>
      <c r="B10">
        <v>0</v>
      </c>
      <c r="C10">
        <v>1</v>
      </c>
      <c r="D10">
        <f>B10*C10</f>
        <v>0</v>
      </c>
    </row>
    <row r="11">
      <c r="A11" t="str">
        <v>Du კოლონის კუთხის თეფში</v>
      </c>
      <c r="B11">
        <v>0</v>
      </c>
      <c r="C11">
        <v>1</v>
      </c>
      <c r="D11">
        <f>B11*C11</f>
        <v>0</v>
      </c>
    </row>
    <row r="12">
      <c r="A12" t="str">
        <v>Du კოლონის კუთხის კონექტორი</v>
      </c>
      <c r="B12">
        <v>0</v>
      </c>
      <c r="C12">
        <v>1</v>
      </c>
      <c r="D12">
        <f>B12*C12</f>
        <v>0</v>
      </c>
    </row>
    <row r="13">
      <c r="A13" t="str">
        <v>Du კოლონის კუთხის კონექტორი 40სმ</v>
      </c>
      <c r="B13">
        <v>0</v>
      </c>
      <c r="C13">
        <v>1</v>
      </c>
      <c r="D13">
        <f>B13*C13</f>
        <v>0</v>
      </c>
    </row>
    <row r="14">
      <c r="A14" t="str">
        <v>Du კოლონის პანელზე სამაგრი კომპლექტი</v>
      </c>
      <c r="B14">
        <v>0</v>
      </c>
      <c r="C14">
        <v>1</v>
      </c>
      <c r="D14">
        <f>B14*C14</f>
        <v>0</v>
      </c>
    </row>
    <row r="15">
      <c r="A15" t="str">
        <v>Du კოლონის პანელი 30*300</v>
      </c>
      <c r="B15">
        <v>2</v>
      </c>
      <c r="C15">
        <v>1</v>
      </c>
      <c r="D15">
        <f>B15*C15</f>
        <v>2</v>
      </c>
    </row>
    <row r="16">
      <c r="A16" t="str">
        <v>Du კოლონის პანელი 45*150</v>
      </c>
      <c r="B16">
        <v>0</v>
      </c>
      <c r="C16">
        <v>1</v>
      </c>
      <c r="D16">
        <f>B16*C16</f>
        <v>0</v>
      </c>
    </row>
    <row r="17">
      <c r="A17" t="str">
        <v>Du კოლონის პანელი 45*300</v>
      </c>
      <c r="B17">
        <v>9</v>
      </c>
      <c r="C17">
        <v>1</v>
      </c>
      <c r="D17">
        <f>B17*C17</f>
        <v>9</v>
      </c>
    </row>
    <row r="18">
      <c r="A18" t="str">
        <v>Du კოლონის პანელი 60*150</v>
      </c>
      <c r="B18">
        <v>0</v>
      </c>
      <c r="C18">
        <v>1</v>
      </c>
      <c r="D18">
        <f>B18*C18</f>
        <v>0</v>
      </c>
    </row>
    <row r="19">
      <c r="A19" t="str">
        <v>Du კოლონის პანელი 60*300</v>
      </c>
      <c r="B19">
        <v>9</v>
      </c>
      <c r="C19">
        <v>1</v>
      </c>
      <c r="D19">
        <f>B19*C19</f>
        <v>9</v>
      </c>
    </row>
    <row r="20">
      <c r="A20" t="str">
        <v>Du კოლონის პანელი 75*090</v>
      </c>
      <c r="B20">
        <v>0</v>
      </c>
      <c r="C20">
        <v>1</v>
      </c>
      <c r="D20">
        <f>B20*C20</f>
        <v>0</v>
      </c>
    </row>
    <row r="21">
      <c r="A21" t="str">
        <v>Du კოლონის პანელი 75*150</v>
      </c>
      <c r="B21">
        <v>0</v>
      </c>
      <c r="C21">
        <v>1</v>
      </c>
      <c r="D21">
        <f>B21*C21</f>
        <v>0</v>
      </c>
    </row>
    <row r="22">
      <c r="A22" t="str">
        <v>Du კოლონის პანელი 75*300</v>
      </c>
      <c r="B22">
        <v>0</v>
      </c>
      <c r="C22">
        <v>1</v>
      </c>
      <c r="D22">
        <f>B22*C22</f>
        <v>0</v>
      </c>
    </row>
    <row r="23">
      <c r="A23" t="str">
        <v>Du კოლონის პანელი 90*300</v>
      </c>
      <c r="B23">
        <v>12</v>
      </c>
      <c r="C23">
        <v>1</v>
      </c>
      <c r="D23">
        <f>B23*C23</f>
        <v>12</v>
      </c>
    </row>
    <row r="24">
      <c r="A24" t="str">
        <v>Du კოლონის პანელის ბეტონზე სამაგრი</v>
      </c>
      <c r="B24">
        <v>0</v>
      </c>
      <c r="C24">
        <v>1</v>
      </c>
      <c r="D24">
        <f>B24*C24</f>
        <v>0</v>
      </c>
    </row>
    <row r="25">
      <c r="A25" t="str">
        <v>Du კოლონის ქანჩი + დისკო</v>
      </c>
      <c r="B25">
        <v>0</v>
      </c>
      <c r="C25">
        <v>1</v>
      </c>
      <c r="D25">
        <f>B25*C25</f>
        <v>0</v>
      </c>
    </row>
    <row r="26">
      <c r="A26" t="str">
        <v>Du კოლონის შიდა კუთხე 20*20*150</v>
      </c>
      <c r="B26">
        <v>0</v>
      </c>
      <c r="C26">
        <v>1</v>
      </c>
      <c r="D26">
        <f>B26*C26</f>
        <v>0</v>
      </c>
    </row>
    <row r="27">
      <c r="A27" t="str">
        <v>Du კოლონის შიდა კუთხე 20*20*300</v>
      </c>
      <c r="B27">
        <v>0</v>
      </c>
      <c r="C27">
        <v>1</v>
      </c>
      <c r="D27">
        <f>B27*C27</f>
        <v>0</v>
      </c>
    </row>
    <row r="28">
      <c r="A28" t="str">
        <v>Du კოლონის შიდა კუთხე 20*20*300 ჯონი</v>
      </c>
      <c r="B28">
        <v>4</v>
      </c>
      <c r="C28">
        <v>1</v>
      </c>
      <c r="D28">
        <f>B28*C28</f>
        <v>4</v>
      </c>
    </row>
    <row r="29">
      <c r="A29" t="str">
        <v>Du კოლონის ჩაკერება 10*150</v>
      </c>
      <c r="B29">
        <v>0</v>
      </c>
      <c r="C29">
        <v>1</v>
      </c>
      <c r="D29">
        <f>B29*C29</f>
        <v>0</v>
      </c>
    </row>
    <row r="30">
      <c r="A30" t="str">
        <v>Du კოლონის ჩაკერება 10*300</v>
      </c>
      <c r="B30">
        <v>1</v>
      </c>
      <c r="C30">
        <v>1</v>
      </c>
      <c r="D30">
        <f>B30*C30</f>
        <v>1</v>
      </c>
    </row>
    <row r="31">
      <c r="A31" t="str">
        <v>Du კოლონის ჩაკერება 5*150</v>
      </c>
      <c r="B31">
        <v>0</v>
      </c>
      <c r="C31">
        <v>1</v>
      </c>
      <c r="D31">
        <f>B31*C31</f>
        <v>0</v>
      </c>
    </row>
    <row r="32">
      <c r="A32" t="str">
        <v>Du კოლონის ჩაკერება 5*300</v>
      </c>
      <c r="B32">
        <v>5</v>
      </c>
      <c r="C32">
        <v>1</v>
      </c>
      <c r="D32">
        <f>B32*C32</f>
        <v>5</v>
      </c>
    </row>
    <row r="33">
      <c r="A33" t="str">
        <v>Du კოლონის ჩამკეტი fix</v>
      </c>
      <c r="B33">
        <v>0</v>
      </c>
      <c r="C33">
        <v>1</v>
      </c>
      <c r="D33">
        <f>B33*C33</f>
        <v>0</v>
      </c>
    </row>
    <row r="34">
      <c r="A34" t="str">
        <v>Du კოლონის ჩამკეტი რეგულირებადი</v>
      </c>
      <c r="B34">
        <v>0</v>
      </c>
      <c r="C34">
        <v>1</v>
      </c>
      <c r="D34">
        <f>B34*C34</f>
        <v>0</v>
      </c>
    </row>
    <row r="35">
      <c r="A35" t="str">
        <v>Du კოლონის ძირის სამაგრი</v>
      </c>
      <c r="B35">
        <v>0</v>
      </c>
      <c r="C35">
        <v>1</v>
      </c>
      <c r="D35">
        <f>B35*C35</f>
        <v>0</v>
      </c>
    </row>
    <row r="36">
      <c r="A36" t="str">
        <v>Du კოლონის ხარაჩოს ფეხი</v>
      </c>
      <c r="B36">
        <v>0</v>
      </c>
      <c r="C36">
        <v>1</v>
      </c>
      <c r="D36">
        <f>B36*C36</f>
        <v>0</v>
      </c>
    </row>
    <row r="37">
      <c r="A37" t="str">
        <v>კოლონის გილზა ფიქსატორის</v>
      </c>
      <c r="B37">
        <v>0</v>
      </c>
      <c r="C37">
        <v>1</v>
      </c>
      <c r="D37">
        <f>B37*C37</f>
        <v>0</v>
      </c>
    </row>
    <row r="38">
      <c r="A38" t="str">
        <v>კოლონის ქანჩი (გაიკა) ფიქსატორის</v>
      </c>
      <c r="B38">
        <v>0</v>
      </c>
      <c r="C38">
        <v>1</v>
      </c>
      <c r="D38">
        <f>B38*C38</f>
        <v>0</v>
      </c>
    </row>
    <row r="39">
      <c r="A39" t="str">
        <v>კოლონის ჭანჭიკი (შტირი 0,60 სმ) ფიქსატორის</v>
      </c>
      <c r="B39">
        <v>0</v>
      </c>
      <c r="C39">
        <v>1</v>
      </c>
      <c r="D39">
        <f>B39*C39</f>
        <v>0</v>
      </c>
    </row>
    <row r="40">
      <c r="A40" t="str">
        <v>კოლონის ჭანჭიკი (შტირი 0,80 სმ) ფიქსატორის</v>
      </c>
      <c r="B40">
        <v>0</v>
      </c>
      <c r="C40">
        <v>1</v>
      </c>
      <c r="D40">
        <f>B40*C40</f>
        <v>0</v>
      </c>
    </row>
    <row r="41">
      <c r="A41" t="str">
        <v>კოლონის ჭანჭიკი (შტირი 100 სმ) ფიქსატორის</v>
      </c>
      <c r="B41">
        <v>0</v>
      </c>
      <c r="C41">
        <v>1</v>
      </c>
      <c r="D41">
        <f>B41*C41</f>
        <v>0</v>
      </c>
    </row>
    <row r="42">
      <c r="A42" t="str">
        <v>კოლონის ჭანჭიკი (შტირი 150 სმ) ფიქსატორის</v>
      </c>
      <c r="B42">
        <v>0</v>
      </c>
      <c r="C42">
        <v>1</v>
      </c>
      <c r="D42">
        <f>B42*C42</f>
        <v>0</v>
      </c>
    </row>
  </sheetData>
  <ignoredErrors>
    <ignoredError numberStoredAsText="1" sqref="A1:F4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3"/>
  <sheetViews>
    <sheetView workbookViewId="0"/>
  </sheetViews>
  <cols>
    <col min="1" max="1" width="44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4.83203125" customWidth="1"/>
    <col min="11" max="11" width="14.83203125" customWidth="1"/>
  </cols>
  <sheetData>
    <row r="1">
      <c r="A1" t="str">
        <v>დეტალის დასახელება</v>
      </c>
      <c r="B1" t="str">
        <v>რაოდენობა კონსტრუქცია 1</v>
      </c>
      <c r="C1" t="str">
        <v>რაოდენობა კონსტრუქცია 2</v>
      </c>
      <c r="D1" t="str">
        <v>რაოდენობა კონსტრუქცია 3</v>
      </c>
      <c r="E1" t="str">
        <v>რაოდენობა კონსტრუქცია 4</v>
      </c>
      <c r="F1" t="str">
        <v>რაოდენობა კონსტრუქცია 5</v>
      </c>
      <c r="G1" t="str">
        <v>სულ რაოდენობა</v>
      </c>
      <c r="H1" t="str">
        <v>ერთეულის წონა</v>
      </c>
      <c r="I1" t="str">
        <v>სულ წონა</v>
      </c>
      <c r="J1" t="str">
        <v>ერთეულის ფართობი კვ. მ</v>
      </c>
      <c r="K1" t="str">
        <v>სულ ფართობი კვ. მ</v>
      </c>
    </row>
    <row r="2">
      <c r="A2" t="str">
        <v>Du კოლონის waler 100</v>
      </c>
      <c r="B2">
        <f>SUMIFS('კონსტრუქცია 1'!D:D,'კონსტრუქცია 1'!A:A,A2)</f>
        <v>0</v>
      </c>
      <c r="C2" t="str">
        <v/>
      </c>
      <c r="D2" t="str">
        <v/>
      </c>
      <c r="E2" t="str">
        <v/>
      </c>
      <c r="F2" t="str">
        <v/>
      </c>
      <c r="G2">
        <f>SUM(B2:F2)</f>
        <v>0</v>
      </c>
      <c r="H2">
        <v>0</v>
      </c>
      <c r="I2">
        <f>G2*H2</f>
        <v>0</v>
      </c>
      <c r="J2">
        <v>0</v>
      </c>
      <c r="K2">
        <f>G2*J2</f>
        <v>0</v>
      </c>
    </row>
    <row r="3">
      <c r="A3" t="str">
        <v>Du კოლონის waler 120</v>
      </c>
      <c r="B3">
        <f>SUMIFS('კონსტრუქცია 1'!D:D,'კონსტრუქცია 1'!A:A,A3)</f>
        <v>0</v>
      </c>
      <c r="C3" t="str">
        <v/>
      </c>
      <c r="D3" t="str">
        <v/>
      </c>
      <c r="E3" t="str">
        <v/>
      </c>
      <c r="F3" t="str">
        <v/>
      </c>
      <c r="G3">
        <f>SUM(B3:F3)</f>
        <v>0</v>
      </c>
      <c r="H3">
        <v>0</v>
      </c>
      <c r="I3">
        <f>G3*H3</f>
        <v>0</v>
      </c>
      <c r="J3">
        <v>0</v>
      </c>
      <c r="K3">
        <f>G3*J3</f>
        <v>0</v>
      </c>
    </row>
    <row r="4">
      <c r="A4" t="str">
        <v>Du კოლონის waler 150</v>
      </c>
      <c r="B4">
        <f>SUMIFS('კონსტრუქცია 1'!D:D,'კონსტრუქცია 1'!A:A,A4)</f>
        <v>0</v>
      </c>
      <c r="C4" t="str">
        <v/>
      </c>
      <c r="D4" t="str">
        <v/>
      </c>
      <c r="E4" t="str">
        <v/>
      </c>
      <c r="F4" t="str">
        <v/>
      </c>
      <c r="G4">
        <f>SUM(B4:F4)</f>
        <v>0</v>
      </c>
      <c r="H4">
        <v>0</v>
      </c>
      <c r="I4">
        <f>G4*H4</f>
        <v>0</v>
      </c>
      <c r="J4">
        <v>0</v>
      </c>
      <c r="K4">
        <f>G4*J4</f>
        <v>0</v>
      </c>
    </row>
    <row r="5">
      <c r="A5" t="str">
        <v>Du კოლონის waler 300</v>
      </c>
      <c r="B5">
        <f>SUMIFS('კონსტრუქცია 1'!D:D,'კონსტრუქცია 1'!A:A,A5)</f>
        <v>0</v>
      </c>
      <c r="C5" t="str">
        <v/>
      </c>
      <c r="D5" t="str">
        <v/>
      </c>
      <c r="E5" t="str">
        <v/>
      </c>
      <c r="F5" t="str">
        <v/>
      </c>
      <c r="G5">
        <f>SUM(B5:F5)</f>
        <v>0</v>
      </c>
      <c r="H5">
        <v>0</v>
      </c>
      <c r="I5">
        <f>G5*H5</f>
        <v>0</v>
      </c>
      <c r="J5">
        <v>0</v>
      </c>
      <c r="K5">
        <f>G5*J5</f>
        <v>0</v>
      </c>
    </row>
    <row r="6">
      <c r="A6" t="str">
        <v>Du კოლონის waler 600</v>
      </c>
      <c r="B6">
        <f>SUMIFS('კონსტრუქცია 1'!D:D,'კონსტრუქცია 1'!A:A,A6)</f>
        <v>0</v>
      </c>
      <c r="C6" t="str">
        <v/>
      </c>
      <c r="D6" t="str">
        <v/>
      </c>
      <c r="E6" t="str">
        <v/>
      </c>
      <c r="F6" t="str">
        <v/>
      </c>
      <c r="G6">
        <f>SUM(B6:F6)</f>
        <v>0</v>
      </c>
      <c r="H6">
        <v>0</v>
      </c>
      <c r="I6">
        <f>G6*H6</f>
        <v>0</v>
      </c>
      <c r="J6">
        <v>0</v>
      </c>
      <c r="K6">
        <f>G6*J6</f>
        <v>0</v>
      </c>
    </row>
    <row r="7">
      <c r="A7" t="str">
        <v>Du კოლონის გარე კუთხე 300</v>
      </c>
      <c r="B7">
        <f>SUMIFS('კონსტრუქცია 1'!D:D,'კონსტრუქცია 1'!A:A,A7)</f>
        <v>0</v>
      </c>
      <c r="C7" t="str">
        <v/>
      </c>
      <c r="D7" t="str">
        <v/>
      </c>
      <c r="E7" t="str">
        <v/>
      </c>
      <c r="F7" t="str">
        <v/>
      </c>
      <c r="G7">
        <f>SUM(B7:F7)</f>
        <v>0</v>
      </c>
      <c r="H7">
        <v>0</v>
      </c>
      <c r="I7">
        <f>G7*H7</f>
        <v>0</v>
      </c>
      <c r="J7">
        <v>0</v>
      </c>
      <c r="K7">
        <f>G7*J7</f>
        <v>0</v>
      </c>
    </row>
    <row r="8">
      <c r="A8" t="str">
        <v>Du კოლონის დგარი 100</v>
      </c>
      <c r="B8">
        <f>SUMIFS('კონსტრუქცია 1'!D:D,'კონსტრუქცია 1'!A:A,A8)</f>
        <v>0</v>
      </c>
      <c r="C8" t="str">
        <v/>
      </c>
      <c r="D8" t="str">
        <v/>
      </c>
      <c r="E8" t="str">
        <v/>
      </c>
      <c r="F8" t="str">
        <v/>
      </c>
      <c r="G8">
        <f>SUM(B8:F8)</f>
        <v>0</v>
      </c>
      <c r="H8">
        <v>0</v>
      </c>
      <c r="I8">
        <f>G8*H8</f>
        <v>0</v>
      </c>
      <c r="J8">
        <v>0</v>
      </c>
      <c r="K8">
        <f>G8*J8</f>
        <v>0</v>
      </c>
    </row>
    <row r="9">
      <c r="A9" t="str">
        <v>Du კოლონის დგარი 200</v>
      </c>
      <c r="B9">
        <f>SUMIFS('კონსტრუქცია 1'!D:D,'კონსტრუქცია 1'!A:A,A9)</f>
        <v>0</v>
      </c>
      <c r="C9" t="str">
        <v/>
      </c>
      <c r="D9" t="str">
        <v/>
      </c>
      <c r="E9" t="str">
        <v/>
      </c>
      <c r="F9" t="str">
        <v/>
      </c>
      <c r="G9">
        <f>SUM(B9:F9)</f>
        <v>0</v>
      </c>
      <c r="H9">
        <v>0</v>
      </c>
      <c r="I9">
        <f>G9*H9</f>
        <v>0</v>
      </c>
      <c r="J9">
        <v>0</v>
      </c>
      <c r="K9">
        <f>G9*J9</f>
        <v>0</v>
      </c>
    </row>
    <row r="10">
      <c r="A10" t="str">
        <v>Du კოლონის კაუჭი ამწესთვის</v>
      </c>
      <c r="B10">
        <f>SUMIFS('კონსტრუქცია 1'!D:D,'კონსტრუქცია 1'!A:A,A10)</f>
        <v>0</v>
      </c>
      <c r="C10" t="str">
        <v/>
      </c>
      <c r="D10" t="str">
        <v/>
      </c>
      <c r="E10" t="str">
        <v/>
      </c>
      <c r="F10" t="str">
        <v/>
      </c>
      <c r="G10">
        <f>SUM(B10:F10)</f>
        <v>0</v>
      </c>
      <c r="H10">
        <v>0</v>
      </c>
      <c r="I10">
        <f>G10*H10</f>
        <v>0</v>
      </c>
      <c r="J10">
        <v>0</v>
      </c>
      <c r="K10">
        <f>G10*J10</f>
        <v>0</v>
      </c>
    </row>
    <row r="11">
      <c r="A11" t="str">
        <v>Du კოლონის კუთხის თეფში</v>
      </c>
      <c r="B11">
        <f>SUMIFS('კონსტრუქცია 1'!D:D,'კონსტრუქცია 1'!A:A,A11)</f>
        <v>0</v>
      </c>
      <c r="C11" t="str">
        <v/>
      </c>
      <c r="D11" t="str">
        <v/>
      </c>
      <c r="E11" t="str">
        <v/>
      </c>
      <c r="F11" t="str">
        <v/>
      </c>
      <c r="G11">
        <f>SUM(B11:F11)</f>
        <v>0</v>
      </c>
      <c r="H11">
        <v>0</v>
      </c>
      <c r="I11">
        <f>G11*H11</f>
        <v>0</v>
      </c>
      <c r="J11">
        <v>0</v>
      </c>
      <c r="K11">
        <f>G11*J11</f>
        <v>0</v>
      </c>
    </row>
    <row r="12">
      <c r="A12" t="str">
        <v>Du კოლონის კუთხის კონექტორი</v>
      </c>
      <c r="B12">
        <f>SUMIFS('კონსტრუქცია 1'!D:D,'კონსტრუქცია 1'!A:A,A12)</f>
        <v>0</v>
      </c>
      <c r="C12" t="str">
        <v/>
      </c>
      <c r="D12" t="str">
        <v/>
      </c>
      <c r="E12" t="str">
        <v/>
      </c>
      <c r="F12" t="str">
        <v/>
      </c>
      <c r="G12">
        <f>SUM(B12:F12)</f>
        <v>0</v>
      </c>
      <c r="H12">
        <v>0</v>
      </c>
      <c r="I12">
        <f>G12*H12</f>
        <v>0</v>
      </c>
      <c r="J12">
        <v>0</v>
      </c>
      <c r="K12">
        <f>G12*J12</f>
        <v>0</v>
      </c>
    </row>
    <row r="13">
      <c r="A13" t="str">
        <v>Du კოლონის კუთხის კონექტორი 40სმ</v>
      </c>
      <c r="B13">
        <f>SUMIFS('კონსტრუქცია 1'!D:D,'კონსტრუქცია 1'!A:A,A13)</f>
        <v>0</v>
      </c>
      <c r="C13" t="str">
        <v/>
      </c>
      <c r="D13" t="str">
        <v/>
      </c>
      <c r="E13" t="str">
        <v/>
      </c>
      <c r="F13" t="str">
        <v/>
      </c>
      <c r="G13">
        <f>SUM(B13:F13)</f>
        <v>0</v>
      </c>
      <c r="H13">
        <v>0</v>
      </c>
      <c r="I13">
        <f>G13*H13</f>
        <v>0</v>
      </c>
      <c r="J13">
        <v>0</v>
      </c>
      <c r="K13">
        <f>G13*J13</f>
        <v>0</v>
      </c>
    </row>
    <row r="14">
      <c r="A14" t="str">
        <v>Du კოლონის პანელზე სამაგრი კომპლექტი</v>
      </c>
      <c r="B14">
        <f>SUMIFS('კონსტრუქცია 1'!D:D,'კონსტრუქცია 1'!A:A,A14)</f>
        <v>0</v>
      </c>
      <c r="C14" t="str">
        <v/>
      </c>
      <c r="D14" t="str">
        <v/>
      </c>
      <c r="E14" t="str">
        <v/>
      </c>
      <c r="F14" t="str">
        <v/>
      </c>
      <c r="G14">
        <f>SUM(B14:F14)</f>
        <v>0</v>
      </c>
      <c r="H14">
        <v>0</v>
      </c>
      <c r="I14">
        <f>G14*H14</f>
        <v>0</v>
      </c>
      <c r="J14">
        <v>0</v>
      </c>
      <c r="K14">
        <f>G14*J14</f>
        <v>0</v>
      </c>
    </row>
    <row r="15">
      <c r="A15" t="str">
        <v>Du კოლონის პანელი 30*300</v>
      </c>
      <c r="B15">
        <f>SUMIFS('კონსტრუქცია 1'!D:D,'კონსტრუქცია 1'!A:A,A15)</f>
        <v>2</v>
      </c>
      <c r="C15" t="str">
        <v/>
      </c>
      <c r="D15" t="str">
        <v/>
      </c>
      <c r="E15" t="str">
        <v/>
      </c>
      <c r="F15" t="str">
        <v/>
      </c>
      <c r="G15">
        <f>SUM(B15:F15)</f>
        <v>2</v>
      </c>
      <c r="H15">
        <v>0</v>
      </c>
      <c r="I15">
        <f>G15*H15</f>
        <v>0</v>
      </c>
      <c r="J15">
        <v>0.9</v>
      </c>
      <c r="K15">
        <f>G15*J15</f>
        <v>1.8</v>
      </c>
    </row>
    <row r="16">
      <c r="A16" t="str">
        <v>Du კოლონის პანელი 45*150</v>
      </c>
      <c r="B16">
        <f>SUMIFS('კონსტრუქცია 1'!D:D,'კონსტრუქცია 1'!A:A,A16)</f>
        <v>0</v>
      </c>
      <c r="C16" t="str">
        <v/>
      </c>
      <c r="D16" t="str">
        <v/>
      </c>
      <c r="E16" t="str">
        <v/>
      </c>
      <c r="F16" t="str">
        <v/>
      </c>
      <c r="G16">
        <f>SUM(B16:F16)</f>
        <v>0</v>
      </c>
      <c r="H16">
        <v>0</v>
      </c>
      <c r="I16">
        <f>G16*H16</f>
        <v>0</v>
      </c>
      <c r="J16">
        <v>0.675</v>
      </c>
      <c r="K16">
        <f>G16*J16</f>
        <v>0</v>
      </c>
    </row>
    <row r="17">
      <c r="A17" t="str">
        <v>Du კოლონის პანელი 45*300</v>
      </c>
      <c r="B17">
        <f>SUMIFS('კონსტრუქცია 1'!D:D,'კონსტრუქცია 1'!A:A,A17)</f>
        <v>9</v>
      </c>
      <c r="C17" t="str">
        <v/>
      </c>
      <c r="D17" t="str">
        <v/>
      </c>
      <c r="E17" t="str">
        <v/>
      </c>
      <c r="F17" t="str">
        <v/>
      </c>
      <c r="G17">
        <f>SUM(B17:F17)</f>
        <v>9</v>
      </c>
      <c r="H17">
        <v>0</v>
      </c>
      <c r="I17">
        <f>G17*H17</f>
        <v>0</v>
      </c>
      <c r="J17">
        <v>1.35</v>
      </c>
      <c r="K17">
        <f>G17*J17</f>
        <v>12.15</v>
      </c>
    </row>
    <row r="18">
      <c r="A18" t="str">
        <v>Du კოლონის პანელი 60*150</v>
      </c>
      <c r="B18">
        <f>SUMIFS('კონსტრუქცია 1'!D:D,'კონსტრუქცია 1'!A:A,A18)</f>
        <v>0</v>
      </c>
      <c r="C18" t="str">
        <v/>
      </c>
      <c r="D18" t="str">
        <v/>
      </c>
      <c r="E18" t="str">
        <v/>
      </c>
      <c r="F18" t="str">
        <v/>
      </c>
      <c r="G18">
        <f>SUM(B18:F18)</f>
        <v>0</v>
      </c>
      <c r="H18">
        <v>0</v>
      </c>
      <c r="I18">
        <f>G18*H18</f>
        <v>0</v>
      </c>
      <c r="J18">
        <v>0.9</v>
      </c>
      <c r="K18">
        <f>G18*J18</f>
        <v>0</v>
      </c>
    </row>
    <row r="19">
      <c r="A19" t="str">
        <v>Du კოლონის პანელი 60*300</v>
      </c>
      <c r="B19">
        <f>SUMIFS('კონსტრუქცია 1'!D:D,'კონსტრუქცია 1'!A:A,A19)</f>
        <v>9</v>
      </c>
      <c r="C19" t="str">
        <v/>
      </c>
      <c r="D19" t="str">
        <v/>
      </c>
      <c r="E19" t="str">
        <v/>
      </c>
      <c r="F19" t="str">
        <v/>
      </c>
      <c r="G19">
        <f>SUM(B19:F19)</f>
        <v>9</v>
      </c>
      <c r="H19">
        <v>0</v>
      </c>
      <c r="I19">
        <f>G19*H19</f>
        <v>0</v>
      </c>
      <c r="J19">
        <v>1.8</v>
      </c>
      <c r="K19">
        <f>G19*J19</f>
        <v>16.2</v>
      </c>
    </row>
    <row r="20">
      <c r="A20" t="str">
        <v>Du კოლონის პანელი 75*090</v>
      </c>
      <c r="B20">
        <f>SUMIFS('კონსტრუქცია 1'!D:D,'კონსტრუქცია 1'!A:A,A20)</f>
        <v>0</v>
      </c>
      <c r="C20" t="str">
        <v/>
      </c>
      <c r="D20" t="str">
        <v/>
      </c>
      <c r="E20" t="str">
        <v/>
      </c>
      <c r="F20" t="str">
        <v/>
      </c>
      <c r="G20">
        <f>SUM(B20:F20)</f>
        <v>0</v>
      </c>
      <c r="H20">
        <v>0</v>
      </c>
      <c r="I20">
        <f>G20*H20</f>
        <v>0</v>
      </c>
      <c r="J20">
        <v>0.675</v>
      </c>
      <c r="K20">
        <f>G20*J20</f>
        <v>0</v>
      </c>
    </row>
    <row r="21">
      <c r="A21" t="str">
        <v>Du კოლონის პანელი 75*150</v>
      </c>
      <c r="B21">
        <f>SUMIFS('კონსტრუქცია 1'!D:D,'კონსტრუქცია 1'!A:A,A21)</f>
        <v>0</v>
      </c>
      <c r="C21" t="str">
        <v/>
      </c>
      <c r="D21" t="str">
        <v/>
      </c>
      <c r="E21" t="str">
        <v/>
      </c>
      <c r="F21" t="str">
        <v/>
      </c>
      <c r="G21">
        <f>SUM(B21:F21)</f>
        <v>0</v>
      </c>
      <c r="H21">
        <v>0</v>
      </c>
      <c r="I21">
        <f>G21*H21</f>
        <v>0</v>
      </c>
      <c r="J21">
        <v>1.125</v>
      </c>
      <c r="K21">
        <f>G21*J21</f>
        <v>0</v>
      </c>
    </row>
    <row r="22">
      <c r="A22" t="str">
        <v>Du კოლონის პანელი 75*300</v>
      </c>
      <c r="B22">
        <f>SUMIFS('კონსტრუქცია 1'!D:D,'კონსტრუქცია 1'!A:A,A22)</f>
        <v>0</v>
      </c>
      <c r="C22" t="str">
        <v/>
      </c>
      <c r="D22" t="str">
        <v/>
      </c>
      <c r="E22" t="str">
        <v/>
      </c>
      <c r="F22" t="str">
        <v/>
      </c>
      <c r="G22">
        <f>SUM(B22:F22)</f>
        <v>0</v>
      </c>
      <c r="H22">
        <v>0</v>
      </c>
      <c r="I22">
        <f>G22*H22</f>
        <v>0</v>
      </c>
      <c r="J22">
        <v>2.25</v>
      </c>
      <c r="K22">
        <f>G22*J22</f>
        <v>0</v>
      </c>
    </row>
    <row r="23">
      <c r="A23" t="str">
        <v>Du კოლონის პანელი 90*300</v>
      </c>
      <c r="B23">
        <f>SUMIFS('კონსტრუქცია 1'!D:D,'კონსტრუქცია 1'!A:A,A23)</f>
        <v>12</v>
      </c>
      <c r="C23" t="str">
        <v/>
      </c>
      <c r="D23" t="str">
        <v/>
      </c>
      <c r="E23" t="str">
        <v/>
      </c>
      <c r="F23" t="str">
        <v/>
      </c>
      <c r="G23">
        <f>SUM(B23:F23)</f>
        <v>12</v>
      </c>
      <c r="H23">
        <v>0</v>
      </c>
      <c r="I23">
        <f>G23*H23</f>
        <v>0</v>
      </c>
      <c r="J23">
        <v>2.7</v>
      </c>
      <c r="K23">
        <f>G23*J23</f>
        <v>32.4</v>
      </c>
    </row>
    <row r="24">
      <c r="A24" t="str">
        <v>Du კოლონის პანელის ბეტონზე სამაგრი</v>
      </c>
      <c r="B24">
        <f>SUMIFS('კონსტრუქცია 1'!D:D,'კონსტრუქცია 1'!A:A,A24)</f>
        <v>0</v>
      </c>
      <c r="C24" t="str">
        <v/>
      </c>
      <c r="D24" t="str">
        <v/>
      </c>
      <c r="E24" t="str">
        <v/>
      </c>
      <c r="F24" t="str">
        <v/>
      </c>
      <c r="G24">
        <f>SUM(B24:F24)</f>
        <v>0</v>
      </c>
      <c r="H24">
        <v>0</v>
      </c>
      <c r="I24">
        <f>G24*H24</f>
        <v>0</v>
      </c>
      <c r="J24">
        <v>0</v>
      </c>
      <c r="K24">
        <f>G24*J24</f>
        <v>0</v>
      </c>
    </row>
    <row r="25">
      <c r="A25" t="str">
        <v>Du კოლონის ქანჩი + დისკო</v>
      </c>
      <c r="B25">
        <f>SUMIFS('კონსტრუქცია 1'!D:D,'კონსტრუქცია 1'!A:A,A25)</f>
        <v>0</v>
      </c>
      <c r="C25" t="str">
        <v/>
      </c>
      <c r="D25" t="str">
        <v/>
      </c>
      <c r="E25" t="str">
        <v/>
      </c>
      <c r="F25" t="str">
        <v/>
      </c>
      <c r="G25">
        <f>SUM(B25:F25)</f>
        <v>0</v>
      </c>
      <c r="H25">
        <v>0</v>
      </c>
      <c r="I25">
        <f>G25*H25</f>
        <v>0</v>
      </c>
      <c r="J25">
        <v>0</v>
      </c>
      <c r="K25">
        <f>G25*J25</f>
        <v>0</v>
      </c>
    </row>
    <row r="26">
      <c r="A26" t="str">
        <v>Du კოლონის შიდა კუთხე 20*20*150</v>
      </c>
      <c r="B26">
        <f>SUMIFS('კონსტრუქცია 1'!D:D,'კონსტრუქცია 1'!A:A,A26)</f>
        <v>0</v>
      </c>
      <c r="C26" t="str">
        <v/>
      </c>
      <c r="D26" t="str">
        <v/>
      </c>
      <c r="E26" t="str">
        <v/>
      </c>
      <c r="F26" t="str">
        <v/>
      </c>
      <c r="G26">
        <f>SUM(B26:F26)</f>
        <v>0</v>
      </c>
      <c r="H26">
        <v>0</v>
      </c>
      <c r="I26">
        <f>G26*H26</f>
        <v>0</v>
      </c>
      <c r="J26">
        <v>0.6</v>
      </c>
      <c r="K26">
        <f>G26*J26</f>
        <v>0</v>
      </c>
    </row>
    <row r="27">
      <c r="A27" t="str">
        <v>Du კოლონის შიდა კუთხე 20*20*300</v>
      </c>
      <c r="B27">
        <f>SUMIFS('კონსტრუქცია 1'!D:D,'კონსტრუქცია 1'!A:A,A27)</f>
        <v>0</v>
      </c>
      <c r="C27" t="str">
        <v/>
      </c>
      <c r="D27" t="str">
        <v/>
      </c>
      <c r="E27" t="str">
        <v/>
      </c>
      <c r="F27" t="str">
        <v/>
      </c>
      <c r="G27">
        <f>SUM(B27:F27)</f>
        <v>0</v>
      </c>
      <c r="H27">
        <v>0</v>
      </c>
      <c r="I27">
        <f>G27*H27</f>
        <v>0</v>
      </c>
      <c r="J27">
        <v>1.2</v>
      </c>
      <c r="K27">
        <f>G27*J27</f>
        <v>0</v>
      </c>
    </row>
    <row r="28">
      <c r="A28" t="str">
        <v>Du კოლონის შიდა კუთხე 20*20*300 ჯონი</v>
      </c>
      <c r="B28">
        <f>SUMIFS('კონსტრუქცია 1'!D:D,'კონსტრუქცია 1'!A:A,A28)</f>
        <v>4</v>
      </c>
      <c r="C28" t="str">
        <v/>
      </c>
      <c r="D28" t="str">
        <v/>
      </c>
      <c r="E28" t="str">
        <v/>
      </c>
      <c r="F28" t="str">
        <v/>
      </c>
      <c r="G28">
        <f>SUM(B28:F28)</f>
        <v>4</v>
      </c>
      <c r="H28">
        <v>0</v>
      </c>
      <c r="I28">
        <f>G28*H28</f>
        <v>0</v>
      </c>
      <c r="J28">
        <v>1.2</v>
      </c>
      <c r="K28">
        <f>G28*J28</f>
        <v>4.8</v>
      </c>
    </row>
    <row r="29">
      <c r="A29" t="str">
        <v>Du კოლონის ჩაკერება 10*150</v>
      </c>
      <c r="B29">
        <f>SUMIFS('კონსტრუქცია 1'!D:D,'კონსტრუქცია 1'!A:A,A29)</f>
        <v>0</v>
      </c>
      <c r="C29" t="str">
        <v/>
      </c>
      <c r="D29" t="str">
        <v/>
      </c>
      <c r="E29" t="str">
        <v/>
      </c>
      <c r="F29" t="str">
        <v/>
      </c>
      <c r="G29">
        <f>SUM(B29:F29)</f>
        <v>0</v>
      </c>
      <c r="H29">
        <v>0</v>
      </c>
      <c r="I29">
        <f>G29*H29</f>
        <v>0</v>
      </c>
      <c r="J29">
        <v>0.15</v>
      </c>
      <c r="K29">
        <f>G29*J29</f>
        <v>0</v>
      </c>
    </row>
    <row r="30">
      <c r="A30" t="str">
        <v>Du კოლონის ჩაკერება 10*300</v>
      </c>
      <c r="B30">
        <f>SUMIFS('კონსტრუქცია 1'!D:D,'კონსტრუქცია 1'!A:A,A30)</f>
        <v>1</v>
      </c>
      <c r="C30" t="str">
        <v/>
      </c>
      <c r="D30" t="str">
        <v/>
      </c>
      <c r="E30" t="str">
        <v/>
      </c>
      <c r="F30" t="str">
        <v/>
      </c>
      <c r="G30">
        <f>SUM(B30:F30)</f>
        <v>1</v>
      </c>
      <c r="H30">
        <v>0</v>
      </c>
      <c r="I30">
        <f>G30*H30</f>
        <v>0</v>
      </c>
      <c r="J30">
        <v>0.3</v>
      </c>
      <c r="K30">
        <f>G30*J30</f>
        <v>0.3</v>
      </c>
    </row>
    <row r="31">
      <c r="A31" t="str">
        <v>Du კოლონის ჩაკერება 5*150</v>
      </c>
      <c r="B31">
        <f>SUMIFS('კონსტრუქცია 1'!D:D,'კონსტრუქცია 1'!A:A,A31)</f>
        <v>0</v>
      </c>
      <c r="C31" t="str">
        <v/>
      </c>
      <c r="D31" t="str">
        <v/>
      </c>
      <c r="E31" t="str">
        <v/>
      </c>
      <c r="F31" t="str">
        <v/>
      </c>
      <c r="G31">
        <f>SUM(B31:F31)</f>
        <v>0</v>
      </c>
      <c r="H31">
        <v>0</v>
      </c>
      <c r="I31">
        <f>G31*H31</f>
        <v>0</v>
      </c>
      <c r="J31">
        <v>0.075</v>
      </c>
      <c r="K31">
        <f>G31*J31</f>
        <v>0</v>
      </c>
    </row>
    <row r="32">
      <c r="A32" t="str">
        <v>Du კოლონის ჩაკერება 5*300</v>
      </c>
      <c r="B32">
        <f>SUMIFS('კონსტრუქცია 1'!D:D,'კონსტრუქცია 1'!A:A,A32)</f>
        <v>5</v>
      </c>
      <c r="C32" t="str">
        <v/>
      </c>
      <c r="D32" t="str">
        <v/>
      </c>
      <c r="E32" t="str">
        <v/>
      </c>
      <c r="F32" t="str">
        <v/>
      </c>
      <c r="G32">
        <f>SUM(B32:F32)</f>
        <v>5</v>
      </c>
      <c r="H32">
        <v>0</v>
      </c>
      <c r="I32">
        <f>G32*H32</f>
        <v>0</v>
      </c>
      <c r="J32">
        <v>0.15</v>
      </c>
      <c r="K32">
        <f>G32*J32</f>
        <v>0.75</v>
      </c>
    </row>
    <row r="33">
      <c r="A33" t="str">
        <v>Du კოლონის ჩამკეტი fix</v>
      </c>
      <c r="B33">
        <f>SUMIFS('კონსტრუქცია 1'!D:D,'კონსტრუქცია 1'!A:A,A33)</f>
        <v>0</v>
      </c>
      <c r="C33" t="str">
        <v/>
      </c>
      <c r="D33" t="str">
        <v/>
      </c>
      <c r="E33" t="str">
        <v/>
      </c>
      <c r="F33" t="str">
        <v/>
      </c>
      <c r="G33">
        <f>SUM(B33:F33)</f>
        <v>0</v>
      </c>
      <c r="H33">
        <v>0</v>
      </c>
      <c r="I33">
        <f>G33*H33</f>
        <v>0</v>
      </c>
      <c r="J33">
        <v>0</v>
      </c>
      <c r="K33">
        <f>G33*J33</f>
        <v>0</v>
      </c>
    </row>
    <row r="34">
      <c r="A34" t="str">
        <v>Du კოლონის ჩამკეტი რეგულირებადი</v>
      </c>
      <c r="B34">
        <f>SUMIFS('კონსტრუქცია 1'!D:D,'კონსტრუქცია 1'!A:A,A34)</f>
        <v>0</v>
      </c>
      <c r="C34" t="str">
        <v/>
      </c>
      <c r="D34" t="str">
        <v/>
      </c>
      <c r="E34" t="str">
        <v/>
      </c>
      <c r="F34" t="str">
        <v/>
      </c>
      <c r="G34">
        <f>SUM(B34:F34)</f>
        <v>0</v>
      </c>
      <c r="H34">
        <v>0</v>
      </c>
      <c r="I34">
        <f>G34*H34</f>
        <v>0</v>
      </c>
      <c r="J34">
        <v>0</v>
      </c>
      <c r="K34">
        <f>G34*J34</f>
        <v>0</v>
      </c>
    </row>
    <row r="35">
      <c r="A35" t="str">
        <v>Du კოლონის ძირის სამაგრი</v>
      </c>
      <c r="B35">
        <f>SUMIFS('კონსტრუქცია 1'!D:D,'კონსტრუქცია 1'!A:A,A35)</f>
        <v>0</v>
      </c>
      <c r="C35" t="str">
        <v/>
      </c>
      <c r="D35" t="str">
        <v/>
      </c>
      <c r="E35" t="str">
        <v/>
      </c>
      <c r="F35" t="str">
        <v/>
      </c>
      <c r="G35">
        <f>SUM(B35:F35)</f>
        <v>0</v>
      </c>
      <c r="H35">
        <v>0</v>
      </c>
      <c r="I35">
        <f>G35*H35</f>
        <v>0</v>
      </c>
      <c r="J35">
        <v>0</v>
      </c>
      <c r="K35">
        <f>G35*J35</f>
        <v>0</v>
      </c>
    </row>
    <row r="36">
      <c r="A36" t="str">
        <v>Du კოლონის ხარაჩოს ფეხი</v>
      </c>
      <c r="B36">
        <f>SUMIFS('კონსტრუქცია 1'!D:D,'კონსტრუქცია 1'!A:A,A36)</f>
        <v>0</v>
      </c>
      <c r="C36" t="str">
        <v/>
      </c>
      <c r="D36" t="str">
        <v/>
      </c>
      <c r="E36" t="str">
        <v/>
      </c>
      <c r="F36" t="str">
        <v/>
      </c>
      <c r="G36">
        <f>SUM(B36:F36)</f>
        <v>0</v>
      </c>
      <c r="H36">
        <v>0</v>
      </c>
      <c r="I36">
        <f>G36*H36</f>
        <v>0</v>
      </c>
      <c r="J36">
        <v>0</v>
      </c>
      <c r="K36">
        <f>G36*J36</f>
        <v>0</v>
      </c>
    </row>
    <row r="37">
      <c r="A37" t="str">
        <v>კოლონის გილზა ფიქსატორის</v>
      </c>
      <c r="B37">
        <f>SUMIFS('კონსტრუქცია 1'!D:D,'კონსტრუქცია 1'!A:A,A37)</f>
        <v>0</v>
      </c>
      <c r="C37" t="str">
        <v/>
      </c>
      <c r="D37" t="str">
        <v/>
      </c>
      <c r="E37" t="str">
        <v/>
      </c>
      <c r="F37" t="str">
        <v/>
      </c>
      <c r="G37">
        <f>SUM(B37:F37)</f>
        <v>0</v>
      </c>
      <c r="H37">
        <v>0</v>
      </c>
      <c r="I37">
        <f>G37*H37</f>
        <v>0</v>
      </c>
      <c r="J37">
        <v>0</v>
      </c>
      <c r="K37">
        <f>G37*J37</f>
        <v>0</v>
      </c>
    </row>
    <row r="38">
      <c r="A38" t="str">
        <v>კოლონის ქანჩი (გაიკა) ფიქსატორის</v>
      </c>
      <c r="B38">
        <f>SUMIFS('კონსტრუქცია 1'!D:D,'კონსტრუქცია 1'!A:A,A38)</f>
        <v>0</v>
      </c>
      <c r="C38" t="str">
        <v/>
      </c>
      <c r="D38" t="str">
        <v/>
      </c>
      <c r="E38" t="str">
        <v/>
      </c>
      <c r="F38" t="str">
        <v/>
      </c>
      <c r="G38">
        <f>SUM(B38:F38)</f>
        <v>0</v>
      </c>
      <c r="H38">
        <v>0</v>
      </c>
      <c r="I38">
        <f>G38*H38</f>
        <v>0</v>
      </c>
      <c r="J38">
        <v>0</v>
      </c>
      <c r="K38">
        <f>G38*J38</f>
        <v>0</v>
      </c>
    </row>
    <row r="39">
      <c r="A39" t="str">
        <v>კოლონის ჭანჭიკი (შტირი 0,60 სმ) ფიქსატორის</v>
      </c>
      <c r="B39">
        <f>SUMIFS('კონსტრუქცია 1'!D:D,'კონსტრუქცია 1'!A:A,A39)</f>
        <v>0</v>
      </c>
      <c r="C39" t="str">
        <v/>
      </c>
      <c r="D39" t="str">
        <v/>
      </c>
      <c r="E39" t="str">
        <v/>
      </c>
      <c r="F39" t="str">
        <v/>
      </c>
      <c r="G39">
        <f>SUM(B39:F39)</f>
        <v>0</v>
      </c>
      <c r="H39">
        <v>0</v>
      </c>
      <c r="I39">
        <f>G39*H39</f>
        <v>0</v>
      </c>
      <c r="J39">
        <v>0</v>
      </c>
      <c r="K39">
        <f>G39*J39</f>
        <v>0</v>
      </c>
    </row>
    <row r="40">
      <c r="A40" t="str">
        <v>კოლონის ჭანჭიკი (შტირი 0,80 სმ) ფიქსატორის</v>
      </c>
      <c r="B40">
        <f>SUMIFS('კონსტრუქცია 1'!D:D,'კონსტრუქცია 1'!A:A,A40)</f>
        <v>0</v>
      </c>
      <c r="C40" t="str">
        <v/>
      </c>
      <c r="D40" t="str">
        <v/>
      </c>
      <c r="E40" t="str">
        <v/>
      </c>
      <c r="F40" t="str">
        <v/>
      </c>
      <c r="G40">
        <f>SUM(B40:F40)</f>
        <v>0</v>
      </c>
      <c r="H40">
        <v>0</v>
      </c>
      <c r="I40">
        <f>G40*H40</f>
        <v>0</v>
      </c>
      <c r="J40">
        <v>0</v>
      </c>
      <c r="K40">
        <f>G40*J40</f>
        <v>0</v>
      </c>
    </row>
    <row r="41">
      <c r="A41" t="str">
        <v>კოლონის ჭანჭიკი (შტირი 100 სმ) ფიქსატორის</v>
      </c>
      <c r="B41">
        <f>SUMIFS('კონსტრუქცია 1'!D:D,'კონსტრუქცია 1'!A:A,A41)</f>
        <v>0</v>
      </c>
      <c r="C41" t="str">
        <v/>
      </c>
      <c r="D41" t="str">
        <v/>
      </c>
      <c r="E41" t="str">
        <v/>
      </c>
      <c r="F41" t="str">
        <v/>
      </c>
      <c r="G41">
        <f>SUM(B41:F41)</f>
        <v>0</v>
      </c>
      <c r="H41">
        <v>0</v>
      </c>
      <c r="I41">
        <f>G41*H41</f>
        <v>0</v>
      </c>
      <c r="J41">
        <v>0</v>
      </c>
      <c r="K41">
        <f>G41*J41</f>
        <v>0</v>
      </c>
    </row>
    <row r="42">
      <c r="A42" t="str">
        <v>კოლონის ჭანჭიკი (შტირი 150 სმ) ფიქსატორის</v>
      </c>
      <c r="B42">
        <f>SUMIFS('კონსტრუქცია 1'!D:D,'კონსტრუქცია 1'!A:A,A42)</f>
        <v>0</v>
      </c>
      <c r="C42" t="str">
        <v/>
      </c>
      <c r="D42" t="str">
        <v/>
      </c>
      <c r="E42" t="str">
        <v/>
      </c>
      <c r="F42" t="str">
        <v/>
      </c>
      <c r="G42">
        <f>SUM(B42:F42)</f>
        <v>0</v>
      </c>
      <c r="H42">
        <v>0</v>
      </c>
      <c r="I42">
        <f>G42*H42</f>
        <v>0</v>
      </c>
      <c r="J42">
        <v>0</v>
      </c>
      <c r="K42">
        <f>G42*J42</f>
        <v>0</v>
      </c>
    </row>
    <row r="43">
      <c r="A43" t="str">
        <v>სულ</v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>
        <f>SUM(I2:I42)</f>
        <v>0</v>
      </c>
      <c r="J43" t="str">
        <v/>
      </c>
      <c r="K43">
        <f>SUM(K2:K42)</f>
        <v>68.4</v>
      </c>
    </row>
  </sheetData>
  <ignoredErrors>
    <ignoredError numberStoredAsText="1" sqref="A1:K4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2"/>
  <sheetViews>
    <sheetView workbookViewId="0"/>
  </sheetViews>
  <cols>
    <col min="1" max="1" width="44.83203125" customWidth="1"/>
    <col min="2" max="2" width="12.83203125" customWidth="1"/>
    <col min="3" max="3" width="12.83203125" customWidth="1"/>
    <col min="4" max="4" width="12.83203125" customWidth="1"/>
    <col min="5" max="5" width="14.83203125" customWidth="1"/>
    <col min="6" max="6" width="16.83203125" customWidth="1"/>
    <col min="7" max="7" width="12.83203125" customWidth="1"/>
  </cols>
  <sheetData>
    <row r="1">
      <c r="A1" t="str">
        <v>saqonlis dasaxeleba</v>
      </c>
      <c r="B1" t="str">
        <v>saqonlis jgufi</v>
      </c>
      <c r="C1" t="str">
        <v>SumOfgakiravda raodenoba</v>
      </c>
      <c r="D1" t="str">
        <v>SumOfdabrunda raodenoba</v>
      </c>
      <c r="E1" t="str">
        <v>Dgarebi teritoriaze</v>
      </c>
      <c r="F1" t="str">
        <v>დაგეგმილი რაოდენობა</v>
      </c>
      <c r="G1" t="str">
        <v>სხვაობა</v>
      </c>
    </row>
    <row r="2">
      <c r="A2" t="str">
        <v>Du კოლონის waler 100</v>
      </c>
      <c r="B2" t="str">
        <v>კოლონა</v>
      </c>
      <c r="C2" t="str">
        <v/>
      </c>
      <c r="D2" t="str">
        <v/>
      </c>
      <c r="E2">
        <v>0</v>
      </c>
      <c r="F2">
        <f>SUMIFS('ჯამი'!G:G,'ჯამი'!A:A,A2)</f>
        <v>0</v>
      </c>
      <c r="G2">
        <f>E2-F2</f>
        <v>0</v>
      </c>
    </row>
    <row r="3">
      <c r="A3" t="str">
        <v>Du კოლონის waler 120</v>
      </c>
      <c r="B3" t="str">
        <v>კოლონა</v>
      </c>
      <c r="C3" t="str">
        <v/>
      </c>
      <c r="D3" t="str">
        <v/>
      </c>
      <c r="E3">
        <v>0</v>
      </c>
      <c r="F3">
        <f>SUMIFS('ჯამი'!G:G,'ჯამი'!A:A,A3)</f>
        <v>0</v>
      </c>
      <c r="G3">
        <f>E3-F3</f>
        <v>0</v>
      </c>
    </row>
    <row r="4">
      <c r="A4" t="str">
        <v>Du კოლონის waler 150</v>
      </c>
      <c r="B4" t="str">
        <v>კოლონა</v>
      </c>
      <c r="C4" t="str">
        <v/>
      </c>
      <c r="D4" t="str">
        <v/>
      </c>
      <c r="E4">
        <v>0</v>
      </c>
      <c r="F4">
        <f>SUMIFS('ჯამი'!G:G,'ჯამი'!A:A,A4)</f>
        <v>0</v>
      </c>
      <c r="G4">
        <f>E4-F4</f>
        <v>0</v>
      </c>
    </row>
    <row r="5">
      <c r="A5" t="str">
        <v>Du კოლონის waler 300</v>
      </c>
      <c r="B5" t="str">
        <v>კოლონა</v>
      </c>
      <c r="C5" t="str">
        <v/>
      </c>
      <c r="D5" t="str">
        <v/>
      </c>
      <c r="E5">
        <v>0</v>
      </c>
      <c r="F5">
        <f>SUMIFS('ჯამი'!G:G,'ჯამი'!A:A,A5)</f>
        <v>0</v>
      </c>
      <c r="G5">
        <f>E5-F5</f>
        <v>0</v>
      </c>
    </row>
    <row r="6">
      <c r="A6" t="str">
        <v>Du კოლონის waler 600</v>
      </c>
      <c r="B6" t="str">
        <v>კოლონა</v>
      </c>
      <c r="C6" t="str">
        <v/>
      </c>
      <c r="D6" t="str">
        <v/>
      </c>
      <c r="E6">
        <v>0</v>
      </c>
      <c r="F6">
        <f>SUMIFS('ჯამი'!G:G,'ჯამი'!A:A,A6)</f>
        <v>0</v>
      </c>
      <c r="G6">
        <f>E6-F6</f>
        <v>0</v>
      </c>
    </row>
    <row r="7">
      <c r="A7" t="str">
        <v>Du კოლონის გარე კუთხე 300</v>
      </c>
      <c r="B7" t="str">
        <v>კოლონა</v>
      </c>
      <c r="C7" t="str">
        <v/>
      </c>
      <c r="D7" t="str">
        <v/>
      </c>
      <c r="E7">
        <v>0</v>
      </c>
      <c r="F7">
        <f>SUMIFS('ჯამი'!G:G,'ჯამი'!A:A,A7)</f>
        <v>0</v>
      </c>
      <c r="G7">
        <f>E7-F7</f>
        <v>0</v>
      </c>
    </row>
    <row r="8">
      <c r="A8" t="str">
        <v>Du კოლონის დგარი 100</v>
      </c>
      <c r="B8" t="str">
        <v>კოლონა</v>
      </c>
      <c r="C8" t="str">
        <v/>
      </c>
      <c r="D8" t="str">
        <v/>
      </c>
      <c r="E8">
        <v>0</v>
      </c>
      <c r="F8">
        <f>SUMIFS('ჯამი'!G:G,'ჯამი'!A:A,A8)</f>
        <v>0</v>
      </c>
      <c r="G8">
        <f>E8-F8</f>
        <v>0</v>
      </c>
    </row>
    <row r="9">
      <c r="A9" t="str">
        <v>Du კოლონის დგარი 200</v>
      </c>
      <c r="B9" t="str">
        <v>კოლონა</v>
      </c>
      <c r="C9" t="str">
        <v/>
      </c>
      <c r="D9" t="str">
        <v/>
      </c>
      <c r="E9">
        <v>0</v>
      </c>
      <c r="F9">
        <f>SUMIFS('ჯამი'!G:G,'ჯამი'!A:A,A9)</f>
        <v>0</v>
      </c>
      <c r="G9">
        <f>E9-F9</f>
        <v>0</v>
      </c>
    </row>
    <row r="10">
      <c r="A10" t="str">
        <v>Du კოლონის კაუჭი ამწესთვის</v>
      </c>
      <c r="B10" t="str">
        <v>კოლონა</v>
      </c>
      <c r="C10" t="str">
        <v/>
      </c>
      <c r="D10" t="str">
        <v/>
      </c>
      <c r="E10">
        <v>0</v>
      </c>
      <c r="F10">
        <f>SUMIFS('ჯამი'!G:G,'ჯამი'!A:A,A10)</f>
        <v>0</v>
      </c>
      <c r="G10">
        <f>E10-F10</f>
        <v>0</v>
      </c>
    </row>
    <row r="11">
      <c r="A11" t="str">
        <v>Du კოლონის კუთხის თეფში</v>
      </c>
      <c r="B11" t="str">
        <v>კოლონა</v>
      </c>
      <c r="C11" t="str">
        <v/>
      </c>
      <c r="D11" t="str">
        <v/>
      </c>
      <c r="E11">
        <v>0</v>
      </c>
      <c r="F11">
        <f>SUMIFS('ჯამი'!G:G,'ჯამი'!A:A,A11)</f>
        <v>0</v>
      </c>
      <c r="G11">
        <f>E11-F11</f>
        <v>0</v>
      </c>
    </row>
    <row r="12">
      <c r="A12" t="str">
        <v>Du კოლონის კუთხის კონექტორი</v>
      </c>
      <c r="B12" t="str">
        <v>კოლონა</v>
      </c>
      <c r="C12" t="str">
        <v/>
      </c>
      <c r="D12" t="str">
        <v/>
      </c>
      <c r="E12">
        <v>0</v>
      </c>
      <c r="F12">
        <f>SUMIFS('ჯამი'!G:G,'ჯამი'!A:A,A12)</f>
        <v>0</v>
      </c>
      <c r="G12">
        <f>E12-F12</f>
        <v>0</v>
      </c>
    </row>
    <row r="13">
      <c r="A13" t="str">
        <v>Du კოლონის კუთხის კონექტორი 40სმ</v>
      </c>
      <c r="B13" t="str">
        <v>კოლონა</v>
      </c>
      <c r="C13" t="str">
        <v/>
      </c>
      <c r="D13" t="str">
        <v/>
      </c>
      <c r="E13">
        <v>0</v>
      </c>
      <c r="F13">
        <f>SUMIFS('ჯამი'!G:G,'ჯამი'!A:A,A13)</f>
        <v>0</v>
      </c>
      <c r="G13">
        <f>E13-F13</f>
        <v>0</v>
      </c>
    </row>
    <row r="14">
      <c r="A14" t="str">
        <v>Du კოლონის პანელზე სამაგრი კომპლექტი</v>
      </c>
      <c r="B14" t="str">
        <v>კოლონა</v>
      </c>
      <c r="C14" t="str">
        <v/>
      </c>
      <c r="D14" t="str">
        <v/>
      </c>
      <c r="E14">
        <v>0</v>
      </c>
      <c r="F14">
        <f>SUMIFS('ჯამი'!G:G,'ჯამი'!A:A,A14)</f>
        <v>0</v>
      </c>
      <c r="G14">
        <f>E14-F14</f>
        <v>0</v>
      </c>
    </row>
    <row r="15">
      <c r="A15" t="str">
        <v>Du კოლონის პანელი 30*300</v>
      </c>
      <c r="B15" t="str">
        <v>კოლონა</v>
      </c>
      <c r="C15" t="str">
        <v/>
      </c>
      <c r="D15" t="str">
        <v/>
      </c>
      <c r="E15">
        <v>0</v>
      </c>
      <c r="F15">
        <f>SUMIFS('ჯამი'!G:G,'ჯამი'!A:A,A15)</f>
        <v>2</v>
      </c>
      <c r="G15">
        <f>E15-F15</f>
        <v>-2</v>
      </c>
    </row>
    <row r="16">
      <c r="A16" t="str">
        <v>Du კოლონის პანელი 45*150</v>
      </c>
      <c r="B16" t="str">
        <v>კოლონა</v>
      </c>
      <c r="C16" t="str">
        <v/>
      </c>
      <c r="D16" t="str">
        <v/>
      </c>
      <c r="E16">
        <v>0</v>
      </c>
      <c r="F16">
        <f>SUMIFS('ჯამი'!G:G,'ჯამი'!A:A,A16)</f>
        <v>0</v>
      </c>
      <c r="G16">
        <f>E16-F16</f>
        <v>0</v>
      </c>
    </row>
    <row r="17">
      <c r="A17" t="str">
        <v>Du კოლონის პანელი 45*300</v>
      </c>
      <c r="B17" t="str">
        <v>კოლონა</v>
      </c>
      <c r="C17" t="str">
        <v/>
      </c>
      <c r="D17" t="str">
        <v/>
      </c>
      <c r="E17">
        <v>0</v>
      </c>
      <c r="F17">
        <f>SUMIFS('ჯამი'!G:G,'ჯამი'!A:A,A17)</f>
        <v>9</v>
      </c>
      <c r="G17">
        <f>E17-F17</f>
        <v>-9</v>
      </c>
    </row>
    <row r="18">
      <c r="A18" t="str">
        <v>Du კოლონის პანელი 60*150</v>
      </c>
      <c r="B18" t="str">
        <v>კოლონა</v>
      </c>
      <c r="C18" t="str">
        <v/>
      </c>
      <c r="D18" t="str">
        <v/>
      </c>
      <c r="E18">
        <v>0</v>
      </c>
      <c r="F18">
        <f>SUMIFS('ჯამი'!G:G,'ჯამი'!A:A,A18)</f>
        <v>0</v>
      </c>
      <c r="G18">
        <f>E18-F18</f>
        <v>0</v>
      </c>
    </row>
    <row r="19">
      <c r="A19" t="str">
        <v>Du კოლონის პანელი 60*300</v>
      </c>
      <c r="B19" t="str">
        <v>კოლონა</v>
      </c>
      <c r="C19" t="str">
        <v/>
      </c>
      <c r="D19" t="str">
        <v/>
      </c>
      <c r="E19">
        <v>0</v>
      </c>
      <c r="F19">
        <f>SUMIFS('ჯამი'!G:G,'ჯამი'!A:A,A19)</f>
        <v>9</v>
      </c>
      <c r="G19">
        <f>E19-F19</f>
        <v>-9</v>
      </c>
    </row>
    <row r="20">
      <c r="A20" t="str">
        <v>Du კოლონის პანელი 75*090</v>
      </c>
      <c r="B20" t="str">
        <v>კოლონა</v>
      </c>
      <c r="C20" t="str">
        <v/>
      </c>
      <c r="D20" t="str">
        <v/>
      </c>
      <c r="E20">
        <v>0</v>
      </c>
      <c r="F20">
        <f>SUMIFS('ჯამი'!G:G,'ჯამი'!A:A,A20)</f>
        <v>0</v>
      </c>
      <c r="G20">
        <f>E20-F20</f>
        <v>0</v>
      </c>
    </row>
    <row r="21">
      <c r="A21" t="str">
        <v>Du კოლონის პანელი 75*150</v>
      </c>
      <c r="B21" t="str">
        <v>კოლონა</v>
      </c>
      <c r="C21" t="str">
        <v/>
      </c>
      <c r="D21" t="str">
        <v/>
      </c>
      <c r="E21">
        <v>0</v>
      </c>
      <c r="F21">
        <f>SUMIFS('ჯამი'!G:G,'ჯამი'!A:A,A21)</f>
        <v>0</v>
      </c>
      <c r="G21">
        <f>E21-F21</f>
        <v>0</v>
      </c>
    </row>
    <row r="22">
      <c r="A22" t="str">
        <v>Du კოლონის პანელი 75*300</v>
      </c>
      <c r="B22" t="str">
        <v>კოლონა</v>
      </c>
      <c r="C22" t="str">
        <v/>
      </c>
      <c r="D22" t="str">
        <v/>
      </c>
      <c r="E22">
        <v>0</v>
      </c>
      <c r="F22">
        <f>SUMIFS('ჯამი'!G:G,'ჯამი'!A:A,A22)</f>
        <v>0</v>
      </c>
      <c r="G22">
        <f>E22-F22</f>
        <v>0</v>
      </c>
    </row>
    <row r="23">
      <c r="A23" t="str">
        <v>Du კოლონის პანელი 90*300</v>
      </c>
      <c r="B23" t="str">
        <v>კოლონა</v>
      </c>
      <c r="C23" t="str">
        <v/>
      </c>
      <c r="D23" t="str">
        <v/>
      </c>
      <c r="E23">
        <v>0</v>
      </c>
      <c r="F23">
        <f>SUMIFS('ჯამი'!G:G,'ჯამი'!A:A,A23)</f>
        <v>12</v>
      </c>
      <c r="G23">
        <f>E23-F23</f>
        <v>-12</v>
      </c>
    </row>
    <row r="24">
      <c r="A24" t="str">
        <v>Du კოლონის პანელის ბეტონზე სამაგრი</v>
      </c>
      <c r="B24" t="str">
        <v>კოლონა</v>
      </c>
      <c r="C24" t="str">
        <v/>
      </c>
      <c r="D24" t="str">
        <v/>
      </c>
      <c r="E24">
        <v>0</v>
      </c>
      <c r="F24">
        <f>SUMIFS('ჯამი'!G:G,'ჯამი'!A:A,A24)</f>
        <v>0</v>
      </c>
      <c r="G24">
        <f>E24-F24</f>
        <v>0</v>
      </c>
    </row>
    <row r="25">
      <c r="A25" t="str">
        <v>Du კოლონის ქანჩი + დისკო</v>
      </c>
      <c r="B25" t="str">
        <v>კოლონა</v>
      </c>
      <c r="C25" t="str">
        <v/>
      </c>
      <c r="D25" t="str">
        <v/>
      </c>
      <c r="E25">
        <v>0</v>
      </c>
      <c r="F25">
        <f>SUMIFS('ჯამი'!G:G,'ჯამი'!A:A,A25)</f>
        <v>0</v>
      </c>
      <c r="G25">
        <f>E25-F25</f>
        <v>0</v>
      </c>
    </row>
    <row r="26">
      <c r="A26" t="str">
        <v>Du კოლონის შიდა კუთხე 20*20*150</v>
      </c>
      <c r="B26" t="str">
        <v>კოლონა</v>
      </c>
      <c r="C26" t="str">
        <v/>
      </c>
      <c r="D26" t="str">
        <v/>
      </c>
      <c r="E26">
        <v>0</v>
      </c>
      <c r="F26">
        <f>SUMIFS('ჯამი'!G:G,'ჯამი'!A:A,A26)</f>
        <v>0</v>
      </c>
      <c r="G26">
        <f>E26-F26</f>
        <v>0</v>
      </c>
    </row>
    <row r="27">
      <c r="A27" t="str">
        <v>Du კოლონის შიდა კუთხე 20*20*300</v>
      </c>
      <c r="B27" t="str">
        <v>კოლონა</v>
      </c>
      <c r="C27" t="str">
        <v/>
      </c>
      <c r="D27" t="str">
        <v/>
      </c>
      <c r="E27">
        <v>0</v>
      </c>
      <c r="F27">
        <f>SUMIFS('ჯამი'!G:G,'ჯამი'!A:A,A27)</f>
        <v>0</v>
      </c>
      <c r="G27">
        <f>E27-F27</f>
        <v>0</v>
      </c>
    </row>
    <row r="28">
      <c r="A28" t="str">
        <v>Du კოლონის შიდა კუთხე 20*20*300 ჯონი</v>
      </c>
      <c r="B28" t="str">
        <v>კოლონა</v>
      </c>
      <c r="C28" t="str">
        <v/>
      </c>
      <c r="D28" t="str">
        <v/>
      </c>
      <c r="E28">
        <v>0</v>
      </c>
      <c r="F28">
        <f>SUMIFS('ჯამი'!G:G,'ჯამი'!A:A,A28)</f>
        <v>4</v>
      </c>
      <c r="G28">
        <f>E28-F28</f>
        <v>-4</v>
      </c>
    </row>
    <row r="29">
      <c r="A29" t="str">
        <v>Du კოლონის ჩაკერება 10*150</v>
      </c>
      <c r="B29" t="str">
        <v>კოლონა</v>
      </c>
      <c r="C29" t="str">
        <v/>
      </c>
      <c r="D29" t="str">
        <v/>
      </c>
      <c r="E29">
        <v>0</v>
      </c>
      <c r="F29">
        <f>SUMIFS('ჯამი'!G:G,'ჯამი'!A:A,A29)</f>
        <v>0</v>
      </c>
      <c r="G29">
        <f>E29-F29</f>
        <v>0</v>
      </c>
    </row>
    <row r="30">
      <c r="A30" t="str">
        <v>Du კოლონის ჩაკერება 10*300</v>
      </c>
      <c r="B30" t="str">
        <v>კოლონა</v>
      </c>
      <c r="C30" t="str">
        <v/>
      </c>
      <c r="D30" t="str">
        <v/>
      </c>
      <c r="E30">
        <v>0</v>
      </c>
      <c r="F30">
        <f>SUMIFS('ჯამი'!G:G,'ჯამი'!A:A,A30)</f>
        <v>1</v>
      </c>
      <c r="G30">
        <f>E30-F30</f>
        <v>-1</v>
      </c>
    </row>
    <row r="31">
      <c r="A31" t="str">
        <v>Du კოლონის ჩაკერება 5*150</v>
      </c>
      <c r="B31" t="str">
        <v>კოლონა</v>
      </c>
      <c r="C31" t="str">
        <v/>
      </c>
      <c r="D31" t="str">
        <v/>
      </c>
      <c r="E31">
        <v>0</v>
      </c>
      <c r="F31">
        <f>SUMIFS('ჯამი'!G:G,'ჯამი'!A:A,A31)</f>
        <v>0</v>
      </c>
      <c r="G31">
        <f>E31-F31</f>
        <v>0</v>
      </c>
    </row>
    <row r="32">
      <c r="A32" t="str">
        <v>Du კოლონის ჩაკერება 5*300</v>
      </c>
      <c r="B32" t="str">
        <v>კოლონა</v>
      </c>
      <c r="C32" t="str">
        <v/>
      </c>
      <c r="D32" t="str">
        <v/>
      </c>
      <c r="E32">
        <v>0</v>
      </c>
      <c r="F32">
        <f>SUMIFS('ჯამი'!G:G,'ჯამი'!A:A,A32)</f>
        <v>5</v>
      </c>
      <c r="G32">
        <f>E32-F32</f>
        <v>-5</v>
      </c>
    </row>
    <row r="33">
      <c r="A33" t="str">
        <v>Du კოლონის ჩამკეტი fix</v>
      </c>
      <c r="B33" t="str">
        <v>კოლონა</v>
      </c>
      <c r="C33" t="str">
        <v/>
      </c>
      <c r="D33" t="str">
        <v/>
      </c>
      <c r="E33">
        <v>0</v>
      </c>
      <c r="F33">
        <f>SUMIFS('ჯამი'!G:G,'ჯამი'!A:A,A33)</f>
        <v>0</v>
      </c>
      <c r="G33">
        <f>E33-F33</f>
        <v>0</v>
      </c>
    </row>
    <row r="34">
      <c r="A34" t="str">
        <v>Du კოლონის ჩამკეტი რეგულირებადი</v>
      </c>
      <c r="B34" t="str">
        <v>კოლონა</v>
      </c>
      <c r="C34" t="str">
        <v/>
      </c>
      <c r="D34" t="str">
        <v/>
      </c>
      <c r="E34">
        <v>0</v>
      </c>
      <c r="F34">
        <f>SUMIFS('ჯამი'!G:G,'ჯამი'!A:A,A34)</f>
        <v>0</v>
      </c>
      <c r="G34">
        <f>E34-F34</f>
        <v>0</v>
      </c>
    </row>
    <row r="35">
      <c r="A35" t="str">
        <v>Du კოლონის ძირის სამაგრი</v>
      </c>
      <c r="B35" t="str">
        <v>კოლონა</v>
      </c>
      <c r="C35" t="str">
        <v/>
      </c>
      <c r="D35" t="str">
        <v/>
      </c>
      <c r="E35">
        <v>0</v>
      </c>
      <c r="F35">
        <f>SUMIFS('ჯამი'!G:G,'ჯამი'!A:A,A35)</f>
        <v>0</v>
      </c>
      <c r="G35">
        <f>E35-F35</f>
        <v>0</v>
      </c>
    </row>
    <row r="36">
      <c r="A36" t="str">
        <v>Du კოლონის ხარაჩოს ფეხი</v>
      </c>
      <c r="B36" t="str">
        <v>კოლონა</v>
      </c>
      <c r="C36" t="str">
        <v/>
      </c>
      <c r="D36" t="str">
        <v/>
      </c>
      <c r="E36">
        <v>0</v>
      </c>
      <c r="F36">
        <f>SUMIFS('ჯამი'!G:G,'ჯამი'!A:A,A36)</f>
        <v>0</v>
      </c>
      <c r="G36">
        <f>E36-F36</f>
        <v>0</v>
      </c>
    </row>
    <row r="37">
      <c r="A37" t="str">
        <v>კოლონის გილზა ფიქსატორის</v>
      </c>
      <c r="B37" t="str">
        <v>კოლონა</v>
      </c>
      <c r="C37" t="str">
        <v/>
      </c>
      <c r="D37" t="str">
        <v/>
      </c>
      <c r="E37">
        <v>0</v>
      </c>
      <c r="F37">
        <f>SUMIFS('ჯამი'!G:G,'ჯამი'!A:A,A37)</f>
        <v>0</v>
      </c>
      <c r="G37">
        <f>E37-F37</f>
        <v>0</v>
      </c>
    </row>
    <row r="38">
      <c r="A38" t="str">
        <v>კოლონის ქანჩი (გაიკა) ფიქსატორის</v>
      </c>
      <c r="B38" t="str">
        <v>კოლონა</v>
      </c>
      <c r="C38" t="str">
        <v/>
      </c>
      <c r="D38" t="str">
        <v/>
      </c>
      <c r="E38">
        <v>0</v>
      </c>
      <c r="F38">
        <f>SUMIFS('ჯამი'!G:G,'ჯამი'!A:A,A38)</f>
        <v>0</v>
      </c>
      <c r="G38">
        <f>E38-F38</f>
        <v>0</v>
      </c>
    </row>
    <row r="39">
      <c r="A39" t="str">
        <v>კოლონის ჭანჭიკი (შტირი 0,60 სმ) ფიქსატორის</v>
      </c>
      <c r="B39" t="str">
        <v>კოლონა</v>
      </c>
      <c r="C39" t="str">
        <v/>
      </c>
      <c r="D39" t="str">
        <v/>
      </c>
      <c r="E39">
        <v>0</v>
      </c>
      <c r="F39">
        <f>SUMIFS('ჯამი'!G:G,'ჯამი'!A:A,A39)</f>
        <v>0</v>
      </c>
      <c r="G39">
        <f>E39-F39</f>
        <v>0</v>
      </c>
    </row>
    <row r="40">
      <c r="A40" t="str">
        <v>კოლონის ჭანჭიკი (შტირი 0,80 სმ) ფიქსატორის</v>
      </c>
      <c r="B40" t="str">
        <v>კოლონა</v>
      </c>
      <c r="C40" t="str">
        <v/>
      </c>
      <c r="D40" t="str">
        <v/>
      </c>
      <c r="E40">
        <v>0</v>
      </c>
      <c r="F40">
        <f>SUMIFS('ჯამი'!G:G,'ჯამი'!A:A,A40)</f>
        <v>0</v>
      </c>
      <c r="G40">
        <f>E40-F40</f>
        <v>0</v>
      </c>
    </row>
    <row r="41">
      <c r="A41" t="str">
        <v>კოლონის ჭანჭიკი (შტირი 100 სმ) ფიქსატორის</v>
      </c>
      <c r="B41" t="str">
        <v>კოლონა</v>
      </c>
      <c r="C41" t="str">
        <v/>
      </c>
      <c r="D41" t="str">
        <v/>
      </c>
      <c r="E41">
        <v>0</v>
      </c>
      <c r="F41">
        <f>SUMIFS('ჯამი'!G:G,'ჯამი'!A:A,A41)</f>
        <v>0</v>
      </c>
      <c r="G41">
        <f>E41-F41</f>
        <v>0</v>
      </c>
    </row>
    <row r="42">
      <c r="A42" t="str">
        <v>კოლონის ჭანჭიკი (შტირი 150 სმ) ფიქსატორის</v>
      </c>
      <c r="B42" t="str">
        <v>კოლონა</v>
      </c>
      <c r="C42" t="str">
        <v/>
      </c>
      <c r="D42" t="str">
        <v/>
      </c>
      <c r="E42">
        <v>0</v>
      </c>
      <c r="F42">
        <f>SUMIFS('ჯამი'!G:G,'ჯამი'!A:A,A42)</f>
        <v>0</v>
      </c>
      <c r="G42">
        <f>E42-F42</f>
        <v>0</v>
      </c>
    </row>
  </sheetData>
  <ignoredErrors>
    <ignoredError numberStoredAsText="1" sqref="A1:G4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cols>
    <col min="1" max="1" width="32.83203125" customWidth="1"/>
    <col min="2" max="2" width="36.83203125" customWidth="1"/>
    <col min="3" max="3" width="12.83203125" customWidth="1"/>
    <col min="4" max="4" width="14.83203125" customWidth="1"/>
    <col min="5" max="5" width="14.83203125" customWidth="1"/>
    <col min="6" max="6" width="12.83203125" customWidth="1"/>
    <col min="7" max="7" width="14.83203125" customWidth="1"/>
  </cols>
  <sheetData>
    <row r="1">
      <c r="A1" t="str">
        <v>დეტალის დასახელება</v>
      </c>
      <c r="B1" t="str">
        <v>ფარის სიგრძე</v>
      </c>
      <c r="C1" t="str">
        <v>ფარის რაოდენობა</v>
      </c>
      <c r="D1" t="str">
        <v>ჯამური სიგრძე</v>
      </c>
      <c r="E1" t="str">
        <v>მისაღები სიგრძე</v>
      </c>
      <c r="F1" t="str">
        <v>ცდომილება</v>
      </c>
      <c r="G1" t="str">
        <v>ღია კუთხე (სმ)</v>
      </c>
    </row>
    <row r="2">
      <c r="A2" t="str">
        <v>ხაზი 1 · მონაკვეთი 1</v>
      </c>
      <c r="B2" t="str">
        <v>კუთხე 20 · 3×90 · 45 · კუთხე 20</v>
      </c>
      <c r="C2">
        <v>6</v>
      </c>
      <c r="D2">
        <v>3.55</v>
      </c>
      <c r="E2">
        <v>3.55</v>
      </c>
      <c r="F2">
        <f>D2-E2</f>
        <v>0</v>
      </c>
      <c r="G2" t="str">
        <v/>
      </c>
    </row>
    <row r="3">
      <c r="A3" t="str">
        <v>ხაზი 1 · მონაკვეთი 2</v>
      </c>
      <c r="B3" t="str">
        <v>კუთხე 20 · ჩ5 · 2×60 · ჩ5 · კუთხე 20</v>
      </c>
      <c r="C3">
        <v>6</v>
      </c>
      <c r="D3">
        <v>1.7</v>
      </c>
      <c r="E3">
        <v>1.7</v>
      </c>
      <c r="F3">
        <f>D3-E3</f>
        <v>0</v>
      </c>
      <c r="G3" t="str">
        <v/>
      </c>
    </row>
    <row r="4">
      <c r="A4" t="str">
        <v>ხაზი 1 · მონაკვეთი 3</v>
      </c>
      <c r="B4" t="str">
        <v>2×კუთხე 20</v>
      </c>
      <c r="C4">
        <v>2</v>
      </c>
      <c r="D4">
        <v>0.4</v>
      </c>
      <c r="E4">
        <v>3.55</v>
      </c>
      <c r="F4">
        <f>D4-E4</f>
        <v>-3.15</v>
      </c>
      <c r="G4" t="str">
        <v/>
      </c>
    </row>
    <row r="5">
      <c r="A5" t="str">
        <v>ხაზი 1 · მონაკვეთი 4</v>
      </c>
      <c r="B5" t="str">
        <v>კუთხე 20 · ჩ5 · 2×60 · ჩ5 · კუთხე 20</v>
      </c>
      <c r="C5">
        <v>6</v>
      </c>
      <c r="D5">
        <v>1.7</v>
      </c>
      <c r="E5">
        <v>1.7</v>
      </c>
      <c r="F5">
        <f>D5-E5</f>
        <v>0</v>
      </c>
      <c r="G5" t="str">
        <v/>
      </c>
    </row>
    <row r="6">
      <c r="A6" t="str">
        <v>ხაზი 2 · მონაკვეთი 1</v>
      </c>
      <c r="B6" t="str">
        <v>45 · 3×90 · 45 · 60</v>
      </c>
      <c r="C6">
        <v>6</v>
      </c>
      <c r="D6">
        <v>4.2</v>
      </c>
      <c r="E6">
        <v>3.55</v>
      </c>
      <c r="F6">
        <f>D6-E6</f>
        <v>0.65</v>
      </c>
      <c r="G6" t="str">
        <v/>
      </c>
    </row>
    <row r="7">
      <c r="A7" t="str">
        <v>ხაზი 3 · მონაკვეთი 1</v>
      </c>
      <c r="B7" t="str">
        <v>60</v>
      </c>
      <c r="C7">
        <v>1</v>
      </c>
      <c r="D7">
        <v>0.6</v>
      </c>
      <c r="E7">
        <v>0.2</v>
      </c>
      <c r="F7">
        <f>D7-E7</f>
        <v>0.4</v>
      </c>
      <c r="G7" t="str">
        <v/>
      </c>
    </row>
    <row r="8">
      <c r="A8" t="str">
        <v>ხაზი 3 · მონაკვეთი 2</v>
      </c>
      <c r="B8" t="str">
        <v>45 · 2×60 · 45</v>
      </c>
      <c r="C8">
        <v>4</v>
      </c>
      <c r="D8">
        <v>2.1</v>
      </c>
      <c r="E8">
        <v>2</v>
      </c>
      <c r="F8">
        <f>D8-E8</f>
        <v>0.1</v>
      </c>
      <c r="G8" t="str">
        <v/>
      </c>
    </row>
    <row r="9">
      <c r="A9" t="str">
        <v>ხაზი 3 · მონაკვეთი 3</v>
      </c>
      <c r="B9" t="str">
        <v/>
      </c>
      <c r="C9">
        <v>0</v>
      </c>
      <c r="D9">
        <v>0</v>
      </c>
      <c r="E9">
        <v>3.5</v>
      </c>
      <c r="F9">
        <f>D9-E9</f>
        <v>-3.5</v>
      </c>
      <c r="G9" t="str">
        <v>20 + 20</v>
      </c>
    </row>
    <row r="10">
      <c r="A10" t="str">
        <v>ხაზი 3 · მონაკვეთი 4</v>
      </c>
      <c r="B10" t="str">
        <v>45 · 2×60 · 45</v>
      </c>
      <c r="C10">
        <v>4</v>
      </c>
      <c r="D10">
        <v>2.1</v>
      </c>
      <c r="E10">
        <v>2</v>
      </c>
      <c r="F10">
        <f>D10-E10</f>
        <v>0.1</v>
      </c>
      <c r="G10" t="str">
        <v/>
      </c>
    </row>
    <row r="11">
      <c r="A11" t="str">
        <v>ხაზი 3 · მონაკვეთი 5</v>
      </c>
      <c r="B11" t="str">
        <v>45</v>
      </c>
      <c r="C11">
        <v>1</v>
      </c>
      <c r="D11">
        <v>0.45</v>
      </c>
      <c r="E11">
        <v>0.15</v>
      </c>
      <c r="F11">
        <f>D11-E11</f>
        <v>0.3</v>
      </c>
      <c r="G11" t="str">
        <v/>
      </c>
    </row>
    <row r="12">
      <c r="A12" t="str">
        <v>ხაზი 4</v>
      </c>
      <c r="B12" t="str">
        <v>ელემენტი არ დგას</v>
      </c>
    </row>
    <row r="13">
      <c r="A13" t="str">
        <v>ხაზი 5</v>
      </c>
      <c r="B13" t="str">
        <v>ელემენტი არ დგას</v>
      </c>
    </row>
  </sheetData>
  <ignoredErrors>
    <ignoredError numberStoredAsText="1" sqref="A1:G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cols>
    <col min="1" max="1" width="44.83203125" customWidth="1"/>
    <col min="2" max="2" width="14.83203125" customWidth="1"/>
  </cols>
  <sheetData>
    <row r="1">
      <c r="A1" t="str">
        <v>დეტალის დასახელება</v>
      </c>
      <c r="B1" t="str">
        <v>სულ რაოდენობა</v>
      </c>
    </row>
    <row r="2">
      <c r="A2" t="str">
        <v>Du კოლონის waler 100</v>
      </c>
      <c r="B2">
        <f>SUMIFS('ჯამი'!G:G,'ჯამი'!A:A,A2)</f>
        <v>0</v>
      </c>
    </row>
    <row r="3">
      <c r="A3" t="str">
        <v>Du კოლონის waler 120</v>
      </c>
      <c r="B3">
        <f>SUMIFS('ჯამი'!G:G,'ჯამი'!A:A,A3)</f>
        <v>0</v>
      </c>
    </row>
    <row r="4">
      <c r="A4" t="str">
        <v>Du კოლონის waler 150</v>
      </c>
      <c r="B4">
        <f>SUMIFS('ჯამი'!G:G,'ჯამი'!A:A,A4)</f>
        <v>0</v>
      </c>
    </row>
    <row r="5">
      <c r="A5" t="str">
        <v>Du კოლონის waler 300</v>
      </c>
      <c r="B5">
        <f>SUMIFS('ჯამი'!G:G,'ჯამი'!A:A,A5)</f>
        <v>0</v>
      </c>
    </row>
    <row r="6">
      <c r="A6" t="str">
        <v>Du კოლონის waler 600</v>
      </c>
      <c r="B6">
        <f>SUMIFS('ჯამი'!G:G,'ჯამი'!A:A,A6)</f>
        <v>0</v>
      </c>
    </row>
    <row r="7">
      <c r="A7" t="str">
        <v>Du კოლონის გარე კუთხე 300</v>
      </c>
      <c r="B7">
        <f>SUMIFS('ჯამი'!G:G,'ჯამი'!A:A,A7)</f>
        <v>0</v>
      </c>
    </row>
    <row r="8">
      <c r="A8" t="str">
        <v>Du კოლონის დგარი 100</v>
      </c>
      <c r="B8">
        <f>SUMIFS('ჯამი'!G:G,'ჯამი'!A:A,A8)</f>
        <v>0</v>
      </c>
    </row>
    <row r="9">
      <c r="A9" t="str">
        <v>Du კოლონის დგარი 200</v>
      </c>
      <c r="B9">
        <f>SUMIFS('ჯამი'!G:G,'ჯამი'!A:A,A9)</f>
        <v>0</v>
      </c>
    </row>
    <row r="10">
      <c r="A10" t="str">
        <v>Du კოლონის კაუჭი ამწესთვის</v>
      </c>
      <c r="B10">
        <f>SUMIFS('ჯამი'!G:G,'ჯამი'!A:A,A10)</f>
        <v>0</v>
      </c>
    </row>
    <row r="11">
      <c r="A11" t="str">
        <v>Du კოლონის კუთხის თეფში</v>
      </c>
      <c r="B11">
        <f>SUMIFS('ჯამი'!G:G,'ჯამი'!A:A,A11)</f>
        <v>0</v>
      </c>
    </row>
    <row r="12">
      <c r="A12" t="str">
        <v>Du კოლონის კუთხის კონექტორი</v>
      </c>
      <c r="B12">
        <f>SUMIFS('ჯამი'!G:G,'ჯამი'!A:A,A12)</f>
        <v>0</v>
      </c>
    </row>
    <row r="13">
      <c r="A13" t="str">
        <v>Du კოლონის კუთხის კონექტორი 40სმ</v>
      </c>
      <c r="B13">
        <f>SUMIFS('ჯამი'!G:G,'ჯამი'!A:A,A13)</f>
        <v>0</v>
      </c>
    </row>
    <row r="14">
      <c r="A14" t="str">
        <v>Du კოლონის პანელზე სამაგრი კომპლექტი</v>
      </c>
      <c r="B14">
        <f>SUMIFS('ჯამი'!G:G,'ჯამი'!A:A,A14)</f>
        <v>0</v>
      </c>
    </row>
    <row r="15">
      <c r="A15" t="str">
        <v>Du კოლონის პანელი 30*300</v>
      </c>
      <c r="B15">
        <f>SUMIFS('ჯამი'!G:G,'ჯამი'!A:A,A15)</f>
        <v>2</v>
      </c>
    </row>
    <row r="16">
      <c r="A16" t="str">
        <v>Du კოლონის პანელი 45*150</v>
      </c>
      <c r="B16">
        <f>SUMIFS('ჯამი'!G:G,'ჯამი'!A:A,A16)</f>
        <v>0</v>
      </c>
    </row>
    <row r="17">
      <c r="A17" t="str">
        <v>Du კოლონის პანელი 45*300</v>
      </c>
      <c r="B17">
        <f>SUMIFS('ჯამი'!G:G,'ჯამი'!A:A,A17)</f>
        <v>9</v>
      </c>
    </row>
    <row r="18">
      <c r="A18" t="str">
        <v>Du კოლონის პანელი 60*150</v>
      </c>
      <c r="B18">
        <f>SUMIFS('ჯამი'!G:G,'ჯამი'!A:A,A18)</f>
        <v>0</v>
      </c>
    </row>
    <row r="19">
      <c r="A19" t="str">
        <v>Du კოლონის პანელი 60*300</v>
      </c>
      <c r="B19">
        <f>SUMIFS('ჯამი'!G:G,'ჯამი'!A:A,A19)</f>
        <v>9</v>
      </c>
    </row>
    <row r="20">
      <c r="A20" t="str">
        <v>Du კოლონის პანელი 75*090</v>
      </c>
      <c r="B20">
        <f>SUMIFS('ჯამი'!G:G,'ჯამი'!A:A,A20)</f>
        <v>0</v>
      </c>
    </row>
    <row r="21">
      <c r="A21" t="str">
        <v>Du კოლონის პანელი 75*150</v>
      </c>
      <c r="B21">
        <f>SUMIFS('ჯამი'!G:G,'ჯამი'!A:A,A21)</f>
        <v>0</v>
      </c>
    </row>
    <row r="22">
      <c r="A22" t="str">
        <v>Du კოლონის პანელი 75*300</v>
      </c>
      <c r="B22">
        <f>SUMIFS('ჯამი'!G:G,'ჯამი'!A:A,A22)</f>
        <v>0</v>
      </c>
    </row>
    <row r="23">
      <c r="A23" t="str">
        <v>Du კოლონის პანელი 90*300</v>
      </c>
      <c r="B23">
        <f>SUMIFS('ჯამი'!G:G,'ჯამი'!A:A,A23)</f>
        <v>12</v>
      </c>
    </row>
    <row r="24">
      <c r="A24" t="str">
        <v>Du კოლონის პანელის ბეტონზე სამაგრი</v>
      </c>
      <c r="B24">
        <f>SUMIFS('ჯამი'!G:G,'ჯამი'!A:A,A24)</f>
        <v>0</v>
      </c>
    </row>
    <row r="25">
      <c r="A25" t="str">
        <v>Du კოლონის ქანჩი + დისკო</v>
      </c>
      <c r="B25">
        <f>SUMIFS('ჯამი'!G:G,'ჯამი'!A:A,A25)</f>
        <v>0</v>
      </c>
    </row>
    <row r="26">
      <c r="A26" t="str">
        <v>Du კოლონის შიდა კუთხე 20*20*150</v>
      </c>
      <c r="B26">
        <f>SUMIFS('ჯამი'!G:G,'ჯამი'!A:A,A26)</f>
        <v>0</v>
      </c>
    </row>
    <row r="27">
      <c r="A27" t="str">
        <v>Du კოლონის შიდა კუთხე 20*20*300</v>
      </c>
      <c r="B27">
        <f>SUMIFS('ჯამი'!G:G,'ჯამი'!A:A,A27)</f>
        <v>0</v>
      </c>
    </row>
    <row r="28">
      <c r="A28" t="str">
        <v>Du კოლონის შიდა კუთხე 20*20*300 ჯონი</v>
      </c>
      <c r="B28">
        <f>SUMIFS('ჯამი'!G:G,'ჯამი'!A:A,A28)</f>
        <v>4</v>
      </c>
    </row>
    <row r="29">
      <c r="A29" t="str">
        <v>Du კოლონის ჩაკერება 10*150</v>
      </c>
      <c r="B29">
        <f>SUMIFS('ჯამი'!G:G,'ჯამი'!A:A,A29)</f>
        <v>0</v>
      </c>
    </row>
    <row r="30">
      <c r="A30" t="str">
        <v>Du კოლონის ჩაკერება 10*300</v>
      </c>
      <c r="B30">
        <f>SUMIFS('ჯამი'!G:G,'ჯამი'!A:A,A30)</f>
        <v>1</v>
      </c>
    </row>
    <row r="31">
      <c r="A31" t="str">
        <v>Du კოლონის ჩაკერება 5*150</v>
      </c>
      <c r="B31">
        <f>SUMIFS('ჯამი'!G:G,'ჯამი'!A:A,A31)</f>
        <v>0</v>
      </c>
    </row>
    <row r="32">
      <c r="A32" t="str">
        <v>Du კოლონის ჩაკერება 5*300</v>
      </c>
      <c r="B32">
        <f>SUMIFS('ჯამი'!G:G,'ჯამი'!A:A,A32)</f>
        <v>5</v>
      </c>
    </row>
    <row r="33">
      <c r="A33" t="str">
        <v>Du კოლონის ჩამკეტი fix</v>
      </c>
      <c r="B33">
        <f>SUMIFS('ჯამი'!G:G,'ჯამი'!A:A,A33)</f>
        <v>0</v>
      </c>
    </row>
    <row r="34">
      <c r="A34" t="str">
        <v>Du კოლონის ჩამკეტი რეგულირებადი</v>
      </c>
      <c r="B34">
        <f>SUMIFS('ჯამი'!G:G,'ჯამი'!A:A,A34)</f>
        <v>0</v>
      </c>
    </row>
    <row r="35">
      <c r="A35" t="str">
        <v>Du კოლონის ძირის სამაგრი</v>
      </c>
      <c r="B35">
        <f>SUMIFS('ჯამი'!G:G,'ჯამი'!A:A,A35)</f>
        <v>0</v>
      </c>
    </row>
    <row r="36">
      <c r="A36" t="str">
        <v>Du კოლონის ხარაჩოს ფეხი</v>
      </c>
      <c r="B36">
        <f>SUMIFS('ჯამი'!G:G,'ჯამი'!A:A,A36)</f>
        <v>0</v>
      </c>
    </row>
    <row r="37">
      <c r="A37" t="str">
        <v>კოლონის გილზა ფიქსატორის</v>
      </c>
      <c r="B37">
        <f>SUMIFS('ჯამი'!G:G,'ჯამი'!A:A,A37)</f>
        <v>0</v>
      </c>
    </row>
    <row r="38">
      <c r="A38" t="str">
        <v>კოლონის ქანჩი (გაიკა) ფიქსატორის</v>
      </c>
      <c r="B38">
        <f>SUMIFS('ჯამი'!G:G,'ჯამი'!A:A,A38)</f>
        <v>0</v>
      </c>
    </row>
    <row r="39">
      <c r="A39" t="str">
        <v>კოლონის ჭანჭიკი (შტირი 0,60 სმ) ფიქსატორის</v>
      </c>
      <c r="B39">
        <f>SUMIFS('ჯამი'!G:G,'ჯამი'!A:A,A39)</f>
        <v>0</v>
      </c>
    </row>
    <row r="40">
      <c r="A40" t="str">
        <v>კოლონის ჭანჭიკი (შტირი 0,80 სმ) ფიქსატორის</v>
      </c>
      <c r="B40">
        <f>SUMIFS('ჯამი'!G:G,'ჯამი'!A:A,A40)</f>
        <v>0</v>
      </c>
    </row>
    <row r="41">
      <c r="A41" t="str">
        <v>კოლონის ჭანჭიკი (შტირი 100 სმ) ფიქსატორის</v>
      </c>
      <c r="B41">
        <f>SUMIFS('ჯამი'!G:G,'ჯამი'!A:A,A41)</f>
        <v>0</v>
      </c>
    </row>
    <row r="42">
      <c r="A42" t="str">
        <v>კოლონის ჭანჭიკი (შტირი 150 სმ) ფიქსატორის</v>
      </c>
      <c r="B42">
        <f>SUMIFS('ჯამი'!G:G,'ჯამი'!A:A,A42)</f>
        <v>0</v>
      </c>
    </row>
  </sheetData>
  <ignoredErrors>
    <ignoredError numberStoredAsText="1" sqref="A1:B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კონსტრუქცია 1</vt:lpstr>
      <vt:lpstr>ჯამი</vt:lpstr>
      <vt:lpstr>ნაშთი</vt:lpstr>
      <vt:lpstr>აწყობა</vt:lpstr>
      <vt:lpstr>პრინტ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